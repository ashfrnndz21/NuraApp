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  <sheet name="Epics" sheetId="2" state="visible" r:id="rId4"/>
    <sheet name="Legend" sheetId="3" state="visible" r:id="rId5"/>
  </sheets>
  <definedNames>
    <definedName function="false" hidden="true" localSheetId="0" name="_xlnm._FilterDatabase" vbProcedure="false">Backlog!$A$1:$L$155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<sst xmlns="http://schemas.openxmlformats.org/spreadsheetml/2006/main" count="1771" uniqueCount="581">
  <si>
    <t xml:space="preserve">ID</t>
  </si>
  <si>
    <t xml:space="preserve">Epic</t>
  </si>
  <si>
    <t xml:space="preserve">Epic name</t>
  </si>
  <si>
    <t xml:space="preserve">Story</t>
  </si>
  <si>
    <t xml:space="preserve">Persona</t>
  </si>
  <si>
    <t xml:space="preserve">Tier</t>
  </si>
  <si>
    <t xml:space="preserve">Priority</t>
  </si>
  <si>
    <t xml:space="preserve">Size</t>
  </si>
  <si>
    <t xml:space="preserve">Depends on</t>
  </si>
  <si>
    <t xml:space="preserve">Acceptance criteria</t>
  </si>
  <si>
    <t xml:space="preserve">Status</t>
  </si>
  <si>
    <t xml:space="preserve">Owner</t>
  </si>
  <si>
    <t xml:space="preserve">E00-01</t>
  </si>
  <si>
    <t xml:space="preserve">E00</t>
  </si>
  <si>
    <t xml:space="preserve">Platform and data foundation</t>
  </si>
  <si>
    <t xml:space="preserve">Accounts with a patient-owned health graph and linked family accounts; in-region hosting (SG or MY)</t>
  </si>
  <si>
    <t xml:space="preserve">System</t>
  </si>
  <si>
    <t xml:space="preserve">T1</t>
  </si>
  <si>
    <t xml:space="preserve">P1</t>
  </si>
  <si>
    <t xml:space="preserve">L</t>
  </si>
  <si>
    <t xml:space="preserve">Patient node owns all data; family accounts attach via grants; data at rest in region</t>
  </si>
  <si>
    <t xml:space="preserve">Backlog</t>
  </si>
  <si>
    <t xml:space="preserve">E00-02</t>
  </si>
  <si>
    <t xml:space="preserve">Consent capture at onboarding: explicit, revocable, versioned, exportable as a PDPA record</t>
  </si>
  <si>
    <t xml:space="preserve">All</t>
  </si>
  <si>
    <t xml:space="preserve">M</t>
  </si>
  <si>
    <t xml:space="preserve">Consent event stored with timestamp, scope and version; revocation removes access within a minute</t>
  </si>
  <si>
    <t xml:space="preserve">E00-03</t>
  </si>
  <si>
    <t xml:space="preserve">Memory stores: episodic (raw artefacts), semantic (facts), working (current episode) with provenance on every fact</t>
  </si>
  <si>
    <t xml:space="preserve">Every semantic fact links to at least one artefact and a confidence</t>
  </si>
  <si>
    <t xml:space="preserve">E00-04</t>
  </si>
  <si>
    <t xml:space="preserve">State model service recomputing clinical, functional, cognitive, situational, preference and family state</t>
  </si>
  <si>
    <t xml:space="preserve">State recomputes on any new fact; every card records the State it was rendered from</t>
  </si>
  <si>
    <t xml:space="preserve">E00-05</t>
  </si>
  <si>
    <t xml:space="preserve">Trigger engine implementing rule, pattern and event triggers with per-type channel and daily caps</t>
  </si>
  <si>
    <t xml:space="preserve">No persona receives more than the configured cap per day; every trigger logs its rule</t>
  </si>
  <si>
    <t xml:space="preserve">E00-06</t>
  </si>
  <si>
    <t xml:space="preserve">Licensed drug database and interaction API integration (local registries MY NPRA, SG HSA)</t>
  </si>
  <si>
    <t xml:space="preserve">Brand to generic resolution for a sample of 200 MY/SG products above 95%</t>
  </si>
  <si>
    <t xml:space="preserve">E00-07</t>
  </si>
  <si>
    <t xml:space="preserve">Audit log service for every read, write and share</t>
  </si>
  <si>
    <t xml:space="preserve">S</t>
  </si>
  <si>
    <t xml:space="preserve">Any access to patient data is queryable by patient and chief</t>
  </si>
  <si>
    <t xml:space="preserve">E00-08</t>
  </si>
  <si>
    <t xml:space="preserve">Offline cache for today's medicine list and emergency card; runs on five-year-old Android at 360px</t>
  </si>
  <si>
    <t xml:space="preserve">Dad</t>
  </si>
  <si>
    <t xml:space="preserve">Cold start under 3s on a reference low-end device; card readable with no data</t>
  </si>
  <si>
    <t xml:space="preserve">E00-09</t>
  </si>
  <si>
    <t xml:space="preserve">Export (PDF, FHIR bundle) and full deletion</t>
  </si>
  <si>
    <t xml:space="preserve">T2</t>
  </si>
  <si>
    <t xml:space="preserve">P2</t>
  </si>
  <si>
    <t xml:space="preserve">Export completes under 60s; deletion removes all stores and confirms</t>
  </si>
  <si>
    <t xml:space="preserve">E01-01</t>
  </si>
  <si>
    <t xml:space="preserve">E01</t>
  </si>
  <si>
    <t xml:space="preserve">Onboarding and health biography</t>
  </si>
  <si>
    <t xml:space="preserve">Chief-led onboarding: who the patient is, who the family is, roles and language</t>
  </si>
  <si>
    <t xml:space="preserve">Chief</t>
  </si>
  <si>
    <t xml:space="preserve">Complete in under 10 minutes with no typed fields beyond names</t>
  </si>
  <si>
    <t xml:space="preserve">E01-02</t>
  </si>
  <si>
    <t xml:space="preserve">Health biography session: guided capture of existing papers into the record with agent assistance</t>
  </si>
  <si>
    <t xml:space="preserve">E02-01,E02-02</t>
  </si>
  <si>
    <t xml:space="preserve">A shoebox of 30 documents becomes a reconciled record in one sitting</t>
  </si>
  <si>
    <t xml:space="preserve">E01-03</t>
  </si>
  <si>
    <t xml:space="preserve">Patient profile: conditions, language, functional and cognitive settings</t>
  </si>
  <si>
    <t xml:space="preserve">Settings drive density mode and voice language immediately</t>
  </si>
  <si>
    <t xml:space="preserve">E01-04</t>
  </si>
  <si>
    <t xml:space="preserve">First-week activation plan: what to snap next, one prompt per day</t>
  </si>
  <si>
    <t xml:space="preserve">Prompts stop once the record has medicines, last visit and next visit</t>
  </si>
  <si>
    <t xml:space="preserve">E02-01</t>
  </si>
  <si>
    <t xml:space="preserve">E02</t>
  </si>
  <si>
    <t xml:space="preserve">Capture and ingestion</t>
  </si>
  <si>
    <t xml:space="preserve">Photo to OCR to structured extraction for labs, reports, prescriptions and receipts</t>
  </si>
  <si>
    <t xml:space="preserve">Lab values extracted with unit and date at 95% on a labelled MY/SG test set</t>
  </si>
  <si>
    <t xml:space="preserve">E02-02</t>
  </si>
  <si>
    <t xml:space="preserve">Handwriting recognition for clinic slips and handwritten prescriptions</t>
  </si>
  <si>
    <t xml:space="preserve">Drug, dose and frequency read from handwritten slips with confidence shown</t>
  </si>
  <si>
    <t xml:space="preserve">E02-03</t>
  </si>
  <si>
    <t xml:space="preserve">PDF import from portals, email and shares</t>
  </si>
  <si>
    <t xml:space="preserve">Multi-page PDFs parsed into events with dates</t>
  </si>
  <si>
    <t xml:space="preserve">E02-04</t>
  </si>
  <si>
    <t xml:space="preserve">WhatsApp inbound ingestion: forward a photo or PDF to the app number and it files itself</t>
  </si>
  <si>
    <t xml:space="preserve">E02-01,E11-01</t>
  </si>
  <si>
    <t xml:space="preserve">Forwarded item appears in the record with a confirmation reply within a minute</t>
  </si>
  <si>
    <t xml:space="preserve">E02-05</t>
  </si>
  <si>
    <t xml:space="preserve">Consult recording with consent prompt, transcription, speaker separation and timestamps</t>
  </si>
  <si>
    <t xml:space="preserve">Consent captured before recording; transcript searchable; clip playable at a timestamp</t>
  </si>
  <si>
    <t xml:space="preserve">E02-06</t>
  </si>
  <si>
    <t xml:space="preserve">Scribble and voice notes attached to any event</t>
  </si>
  <si>
    <t xml:space="preserve">E03-02</t>
  </si>
  <si>
    <t xml:space="preserve">Note attaches to the selected event and appears in recall</t>
  </si>
  <si>
    <t xml:space="preserve">E02-07</t>
  </si>
  <si>
    <t xml:space="preserve">Capture review card with per-field confidence and one confirm tap</t>
  </si>
  <si>
    <t xml:space="preserve">Fields below threshold shown dotted; a single tap saves</t>
  </si>
  <si>
    <t xml:space="preserve">E02-08</t>
  </si>
  <si>
    <t xml:space="preserve">Reading capture by photo of a device screen (BP cuff, glucometer, scale)</t>
  </si>
  <si>
    <t xml:space="preserve">Value, unit and time captured from the screen photo; no typing</t>
  </si>
  <si>
    <t xml:space="preserve">E02-09</t>
  </si>
  <si>
    <t xml:space="preserve">Pill and box photo to drug identification</t>
  </si>
  <si>
    <t xml:space="preserve">Identifies registered MY/SG products by pack and registration number</t>
  </si>
  <si>
    <t xml:space="preserve">E02-10</t>
  </si>
  <si>
    <t xml:space="preserve">Pharmacy receipt to medicine and cost</t>
  </si>
  <si>
    <t xml:space="preserve">E02-01,E07-04</t>
  </si>
  <si>
    <t xml:space="preserve">Price and quantity feed the ledger and the running count</t>
  </si>
  <si>
    <t xml:space="preserve">E02-11</t>
  </si>
  <si>
    <t xml:space="preserve">Wearable and home-device sync (Apple Health, Health Connect, BP cuff, glucometer, scale)</t>
  </si>
  <si>
    <t xml:space="preserve">Readings arrive as events with source and device</t>
  </si>
  <si>
    <t xml:space="preserve">E03-01</t>
  </si>
  <si>
    <t xml:space="preserve">E03</t>
  </si>
  <si>
    <t xml:space="preserve">Memory and timeline</t>
  </si>
  <si>
    <t xml:space="preserve">Appointments as the timeline spine: last check-up, last visit, next visit</t>
  </si>
  <si>
    <t xml:space="preserve">Every artefact can attach to an appointment; radar shows all three anchors</t>
  </si>
  <si>
    <t xml:space="preserve">Episodes and events with artefacts hanging off them</t>
  </si>
  <si>
    <t xml:space="preserve">An episode groups events across visits; timeline filters by episode</t>
  </si>
  <si>
    <t xml:space="preserve">E03-03</t>
  </si>
  <si>
    <t xml:space="preserve">Providers directory with history and chief notes</t>
  </si>
  <si>
    <t xml:space="preserve">Every visit links to a provider; notes visible to chief only</t>
  </si>
  <si>
    <t xml:space="preserve">E03-04</t>
  </si>
  <si>
    <t xml:space="preserve">What changed diff view since the chief last looked</t>
  </si>
  <si>
    <t xml:space="preserve">Lists new facts, unconfirmed doses and family notes since last open</t>
  </si>
  <si>
    <t xml:space="preserve">E03-05</t>
  </si>
  <si>
    <t xml:space="preserve">Natural-language recall: voice for Dad, text for chief, with citations and clip playback</t>
  </si>
  <si>
    <t xml:space="preserve">E00-03,E02-05</t>
  </si>
  <si>
    <t xml:space="preserve">Answers cite the artefact; consult answers play the clip at the timestamp</t>
  </si>
  <si>
    <t xml:space="preserve">E03-06</t>
  </si>
  <si>
    <t xml:space="preserve">Body-systems tagging and map filter</t>
  </si>
  <si>
    <t xml:space="preserve">E15-06</t>
  </si>
  <si>
    <t xml:space="preserve">Every insight carries at least one system tag; map filters timeline and feed</t>
  </si>
  <si>
    <t xml:space="preserve">E03-07</t>
  </si>
  <si>
    <t xml:space="preserve">Search across artefacts and transcripts</t>
  </si>
  <si>
    <t xml:space="preserve">P3</t>
  </si>
  <si>
    <t xml:space="preserve">Full-text search returns artefacts with dates</t>
  </si>
  <si>
    <t xml:space="preserve">E04-01</t>
  </si>
  <si>
    <t xml:space="preserve">E04</t>
  </si>
  <si>
    <t xml:space="preserve">Medications</t>
  </si>
  <si>
    <t xml:space="preserve">Reconciled medication list with source and confidence per line</t>
  </si>
  <si>
    <t xml:space="preserve">E02-01,E00-06</t>
  </si>
  <si>
    <t xml:space="preserve">Each line shows which label or visit it came from; duplicates flagged</t>
  </si>
  <si>
    <t xml:space="preserve">E04-02</t>
  </si>
  <si>
    <t xml:space="preserve">Dose schedule anchored to routine with Taken taps for Dad</t>
  </si>
  <si>
    <t xml:space="preserve">E10-01</t>
  </si>
  <si>
    <t xml:space="preserve">Doses render as paper cards at breakfast, dinner, bed; tap records time</t>
  </si>
  <si>
    <t xml:space="preserve">E04-03</t>
  </si>
  <si>
    <t xml:space="preserve">Interaction check on add, including supplements and TCM</t>
  </si>
  <si>
    <t xml:space="preserve">New line screened before save; severity and the two drugs named</t>
  </si>
  <si>
    <t xml:space="preserve">E04-04</t>
  </si>
  <si>
    <t xml:space="preserve">Running count and reorder date from dispensed quantity, confirmed doses and lead time</t>
  </si>
  <si>
    <t xml:space="preserve">Count updates per tap; reorder date shifts with lead time per source</t>
  </si>
  <si>
    <t xml:space="preserve">E04-05</t>
  </si>
  <si>
    <t xml:space="preserve">Reorder card with Ask-to-order and I-have-more actions</t>
  </si>
  <si>
    <t xml:space="preserve">Card appears at threshold; Ask-to-order notifies the roster</t>
  </si>
  <si>
    <t xml:space="preserve">E04-06</t>
  </si>
  <si>
    <t xml:space="preserve">Medication story per drug: purpose in his words, how to take, watch-outs, avoid, if missed</t>
  </si>
  <si>
    <t xml:space="preserve">Story rendered in Dad's language as a card and a voice note</t>
  </si>
  <si>
    <t xml:space="preserve">E04-07</t>
  </si>
  <si>
    <t xml:space="preserve">Missed-dose guidance per drug</t>
  </si>
  <si>
    <t xml:space="preserve">Guidance from licensed monograph shown when a dose is late</t>
  </si>
  <si>
    <t xml:space="preserve">E04-08</t>
  </si>
  <si>
    <t xml:space="preserve">Polypharmacy review against Beers and STOPP/START surfaced as talking points</t>
  </si>
  <si>
    <t xml:space="preserve">Runs at five or more medicines; each point cites the criterion; never instructs to stop</t>
  </si>
  <si>
    <t xml:space="preserve">E04-09</t>
  </si>
  <si>
    <t xml:space="preserve">Recount from a blister-strip photo</t>
  </si>
  <si>
    <t xml:space="preserve">Count replaces estimate; requested only below seven days or sparse confirmations</t>
  </si>
  <si>
    <t xml:space="preserve">E04-10</t>
  </si>
  <si>
    <t xml:space="preserve">Helper given-taps on WhatsApp</t>
  </si>
  <si>
    <t xml:space="preserve">Helper</t>
  </si>
  <si>
    <t xml:space="preserve">E11-01,E12-05</t>
  </si>
  <si>
    <t xml:space="preserve">Helper reply records the dose as given by helper</t>
  </si>
  <si>
    <t xml:space="preserve">E04-11</t>
  </si>
  <si>
    <t xml:space="preserve">Dose change proposals from consult recording, confirmed by chief</t>
  </si>
  <si>
    <t xml:space="preserve">Verbal change becomes a proposal card; label at next refill closes it</t>
  </si>
  <si>
    <t xml:space="preserve">E04-12</t>
  </si>
  <si>
    <t xml:space="preserve">Refill queue with drafted pharmacy or clinic messages</t>
  </si>
  <si>
    <t xml:space="preserve">Everything due in 14 days listed; one tap drafts the message</t>
  </si>
  <si>
    <t xml:space="preserve">E04-13</t>
  </si>
  <si>
    <t xml:space="preserve">Fasting and festive schedule shifts</t>
  </si>
  <si>
    <t xml:space="preserve">Schedule shifts where the drug allows; chief flagged where it does not</t>
  </si>
  <si>
    <t xml:space="preserve">E04-14</t>
  </si>
  <si>
    <t xml:space="preserve">Side-effect diary linked to medication changes</t>
  </si>
  <si>
    <t xml:space="preserve">E14-01</t>
  </si>
  <si>
    <t xml:space="preserve">Symptoms logged near a change are linked to it</t>
  </si>
  <si>
    <t xml:space="preserve">E04-15</t>
  </si>
  <si>
    <t xml:space="preserve">Generic substitution and price comparison across pharmacies</t>
  </si>
  <si>
    <t xml:space="preserve">T3</t>
  </si>
  <si>
    <t xml:space="preserve">Shows generic option and last known prices</t>
  </si>
  <si>
    <t xml:space="preserve">E04-16</t>
  </si>
  <si>
    <t xml:space="preserve">Old-stock handling for two strengths of one drug</t>
  </si>
  <si>
    <t xml:space="preserve">Label decides current; other marked old stock</t>
  </si>
  <si>
    <t xml:space="preserve">E05-01</t>
  </si>
  <si>
    <t xml:space="preserve">E05</t>
  </si>
  <si>
    <t xml:space="preserve">Visit loop</t>
  </si>
  <si>
    <t xml:space="preserve">Pre-visit brief: purpose, what changed, open questions, what to bring</t>
  </si>
  <si>
    <t xml:space="preserve">Generated at T-3 days; editable; one page</t>
  </si>
  <si>
    <t xml:space="preserve">E05-02</t>
  </si>
  <si>
    <t xml:space="preserve">Questions to ask generated from gaps, memos and State; editable; one card for Dad</t>
  </si>
  <si>
    <t xml:space="preserve">Questions carry their source; Dad's card is one screen</t>
  </si>
  <si>
    <t xml:space="preserve">E05-03</t>
  </si>
  <si>
    <t xml:space="preserve">Logistics card: time, place, parking, who is driving, what to bring</t>
  </si>
  <si>
    <t xml:space="preserve">E12-03</t>
  </si>
  <si>
    <t xml:space="preserve">Driver pulled from roster; card sent T-1 and T-0</t>
  </si>
  <si>
    <t xml:space="preserve">E05-04</t>
  </si>
  <si>
    <t xml:space="preserve">In-visit recording flow</t>
  </si>
  <si>
    <t xml:space="preserve">One tap to start with consent prompt; ends into post-visit</t>
  </si>
  <si>
    <t xml:space="preserve">E05-05</t>
  </si>
  <si>
    <t xml:space="preserve">Post-visit summary in Dad's language with actions, medication changes and follow-ups</t>
  </si>
  <si>
    <t xml:space="preserve">E02-05,E04-01</t>
  </si>
  <si>
    <t xml:space="preserve">Summary within 10 minutes of visit end; changes go to proposals; follow-ups scheduled</t>
  </si>
  <si>
    <t xml:space="preserve">E05-06</t>
  </si>
  <si>
    <t xml:space="preserve">Memo card at the end of every conversation</t>
  </si>
  <si>
    <t xml:space="preserve">Decisions and commitments in the person's words filed to the next appointment</t>
  </si>
  <si>
    <t xml:space="preserve">E05-07</t>
  </si>
  <si>
    <t xml:space="preserve">Coverage and GL check before the visit</t>
  </si>
  <si>
    <t xml:space="preserve">E07-01,E07-02</t>
  </si>
  <si>
    <t xml:space="preserve">Panel status, likely out-of-pocket and GL state shown on the brief</t>
  </si>
  <si>
    <t xml:space="preserve">E05-08</t>
  </si>
  <si>
    <t xml:space="preserve">Doctor-facing share link: expiring one-page brief, no login</t>
  </si>
  <si>
    <t xml:space="preserve">Clinic</t>
  </si>
  <si>
    <t xml:space="preserve">Link opens in a browser, expires in 72 hours, shows conditions, medicines, readings, questions</t>
  </si>
  <si>
    <t xml:space="preserve">E05-09</t>
  </si>
  <si>
    <t xml:space="preserve">Second-opinion packet export</t>
  </si>
  <si>
    <t xml:space="preserve">Bundle with summary, medicines, key labs, imaging list, prior opinions; readable in three minutes</t>
  </si>
  <si>
    <t xml:space="preserve">E05-10</t>
  </si>
  <si>
    <t xml:space="preserve">Visit prep workspace for the chief</t>
  </si>
  <si>
    <t xml:space="preserve">Brief, questions, packet, logistics and GL in one screen</t>
  </si>
  <si>
    <t xml:space="preserve">E06-01</t>
  </si>
  <si>
    <t xml:space="preserve">E06</t>
  </si>
  <si>
    <t xml:space="preserve">Discharge and transitions</t>
  </si>
  <si>
    <t xml:space="preserve">Discharge summary ingestion to plan with old-versus-new medicine reconciliation</t>
  </si>
  <si>
    <t xml:space="preserve">E02-01,E04-01</t>
  </si>
  <si>
    <t xml:space="preserve">New medicines reconciled; red flags listed in plain language</t>
  </si>
  <si>
    <t xml:space="preserve">E06-02</t>
  </si>
  <si>
    <t xml:space="preserve">Follow-up appointments extracted and scheduled</t>
  </si>
  <si>
    <t xml:space="preserve">E06-01,E03-01</t>
  </si>
  <si>
    <t xml:space="preserve">Appointments appear on the spine with prep</t>
  </si>
  <si>
    <t xml:space="preserve">E06-03</t>
  </si>
  <si>
    <t xml:space="preserve">30-day readmission watch: daily check-in card, weight and symptom triggers, escalation</t>
  </si>
  <si>
    <t xml:space="preserve">Escalation to the person on duty on trigger; watch ends at day 30</t>
  </si>
  <si>
    <t xml:space="preserve">E06-04</t>
  </si>
  <si>
    <t xml:space="preserve">Hospital bag and admission-day card</t>
  </si>
  <si>
    <t xml:space="preserve">E07-02</t>
  </si>
  <si>
    <t xml:space="preserve">Card lists GL, ID, medicines, contacts</t>
  </si>
  <si>
    <t xml:space="preserve">E06-05</t>
  </si>
  <si>
    <t xml:space="preserve">GP transition memo after discharge</t>
  </si>
  <si>
    <t xml:space="preserve">One page shared with the GP by link</t>
  </si>
  <si>
    <t xml:space="preserve">E07-01</t>
  </si>
  <si>
    <t xml:space="preserve">E07</t>
  </si>
  <si>
    <t xml:space="preserve">Insurance, cost and admin</t>
  </si>
  <si>
    <t xml:space="preserve">Policy on file in plain language: insurer, plan, panel, limits, exclusions, renewal</t>
  </si>
  <si>
    <t xml:space="preserve">Policy PDF parsed into plain-language fields with source pages</t>
  </si>
  <si>
    <t xml:space="preserve">Guarantee-letter tracking with chasing messages</t>
  </si>
  <si>
    <t xml:space="preserve">States requested, approved, rejected, expired; drafted chase message</t>
  </si>
  <si>
    <t xml:space="preserve">E07-03</t>
  </si>
  <si>
    <t xml:space="preserve">Claims tracking with receipts attached</t>
  </si>
  <si>
    <t xml:space="preserve">States submitted, pending, paid, shortfall</t>
  </si>
  <si>
    <t xml:space="preserve">E07-04</t>
  </si>
  <si>
    <t xml:space="preserve">Cost ledger per episode and per year with SG and MY schemes</t>
  </si>
  <si>
    <t xml:space="preserve">E02-09,E07-03</t>
  </si>
  <si>
    <t xml:space="preserve">Out-of-pocket, claimed and reimbursed totals by episode</t>
  </si>
  <si>
    <t xml:space="preserve">E07-05</t>
  </si>
  <si>
    <t xml:space="preserve">Panel doctor list matched to conditions</t>
  </si>
  <si>
    <t xml:space="preserve">E07-01,E03-03</t>
  </si>
  <si>
    <t xml:space="preserve">Panel providers filtered by sub-specialty</t>
  </si>
  <si>
    <t xml:space="preserve">E07-06</t>
  </si>
  <si>
    <t xml:space="preserve">Cost expectation before care</t>
  </si>
  <si>
    <t xml:space="preserve">Likely bill range for a visit, test or procedure at a named hospital</t>
  </si>
  <si>
    <t xml:space="preserve">E08-01</t>
  </si>
  <si>
    <t xml:space="preserve">E08</t>
  </si>
  <si>
    <t xml:space="preserve">Care navigation</t>
  </si>
  <si>
    <t xml:space="preserve">Provider recommendation with reasons</t>
  </si>
  <si>
    <t xml:space="preserve">E03-03,E07-05</t>
  </si>
  <si>
    <t xml:space="preserve">Ranked list with sub-specialty, history, panel, distance, timing and driver reasons</t>
  </si>
  <si>
    <t xml:space="preserve">E08-02</t>
  </si>
  <si>
    <t xml:space="preserve">Second-opinion logic</t>
  </si>
  <si>
    <t xml:space="preserve">Different institution, matched sub-specialty, not the same practice group</t>
  </si>
  <si>
    <t xml:space="preserve">E08-03</t>
  </si>
  <si>
    <t xml:space="preserve">Best time and easiest route</t>
  </si>
  <si>
    <t xml:space="preserve">Peak hours, travel time and parking shown per option</t>
  </si>
  <si>
    <t xml:space="preserve">E08-04</t>
  </si>
  <si>
    <t xml:space="preserve">Drafted WhatsApp or call script to the clinic; confirm before booking</t>
  </si>
  <si>
    <t xml:space="preserve">No booking without an explicit confirm</t>
  </si>
  <si>
    <t xml:space="preserve">E08-05</t>
  </si>
  <si>
    <t xml:space="preserve">Transport coordination with the roster</t>
  </si>
  <si>
    <t xml:space="preserve">Driver assigned from roster; card to Dad</t>
  </si>
  <si>
    <t xml:space="preserve">E09-01</t>
  </si>
  <si>
    <t xml:space="preserve">E09</t>
  </si>
  <si>
    <t xml:space="preserve">Intelligence and correlation</t>
  </si>
  <si>
    <t xml:space="preserve">Lab trends with age- and lab-adjusted reference ranges</t>
  </si>
  <si>
    <t xml:space="preserve">Trend per analyte with range band and direction in words</t>
  </si>
  <si>
    <t xml:space="preserve">E09-02</t>
  </si>
  <si>
    <t xml:space="preserve">Cross-signal correlation engine: readings, medicines, meals, sleep, symptoms</t>
  </si>
  <si>
    <t xml:space="preserve">E00-03,E02-11</t>
  </si>
  <si>
    <t xml:space="preserve">Correlations computed with provenance; none shown below confidence threshold</t>
  </si>
  <si>
    <t xml:space="preserve">E09-03</t>
  </si>
  <si>
    <t xml:space="preserve">Pattern flags with provenance and confidence, phrased for a clinician conversation</t>
  </si>
  <si>
    <t xml:space="preserve">E09-02,E16-01</t>
  </si>
  <si>
    <t xml:space="preserve">Every flag cites sources and ends with what to raise with the doctor</t>
  </si>
  <si>
    <t xml:space="preserve">E09-04</t>
  </si>
  <si>
    <t xml:space="preserve">Food snap to personal verdict with body-system tags</t>
  </si>
  <si>
    <t xml:space="preserve">Verdict leads with what matters for his conditions; no calorie lecture</t>
  </si>
  <si>
    <t xml:space="preserve">E09-05</t>
  </si>
  <si>
    <t xml:space="preserve">Screening and vaccination schedule localised to MOH Malaysia and HealthHub Singapore</t>
  </si>
  <si>
    <t xml:space="preserve">Due items appear on the feed and next visit questions</t>
  </si>
  <si>
    <t xml:space="preserve">E09-06</t>
  </si>
  <si>
    <t xml:space="preserve">Condition explainer clip in his language</t>
  </si>
  <si>
    <t xml:space="preserve">E11-09</t>
  </si>
  <si>
    <t xml:space="preserve">30-second clip with captions per active condition</t>
  </si>
  <si>
    <t xml:space="preserve">E09-07</t>
  </si>
  <si>
    <t xml:space="preserve">Seasonal and environmental alerts relevant to his conditions</t>
  </si>
  <si>
    <t xml:space="preserve">Haze, dengue and heat alerts only when a condition makes them relevant</t>
  </si>
  <si>
    <t xml:space="preserve">E10</t>
  </si>
  <si>
    <t xml:space="preserve">Daily living and routines</t>
  </si>
  <si>
    <t xml:space="preserve">Routine builder rendered per persona</t>
  </si>
  <si>
    <t xml:space="preserve">Medicines, readings, walks, meals, sleep set once; renders to Dad and helper</t>
  </si>
  <si>
    <t xml:space="preserve">E10-02</t>
  </si>
  <si>
    <t xml:space="preserve">Meal guidance with hawker library and festive periods</t>
  </si>
  <si>
    <t xml:space="preserve">Guidance by condition and culture; festive modes</t>
  </si>
  <si>
    <t xml:space="preserve">E10-03</t>
  </si>
  <si>
    <t xml:space="preserve">Mobility exercise clips and falls-risk check</t>
  </si>
  <si>
    <t xml:space="preserve">Clips with captions; home-hazard checklist for the chief</t>
  </si>
  <si>
    <t xml:space="preserve">E10-04</t>
  </si>
  <si>
    <t xml:space="preserve">Sleep and hydration nudges only when relevant</t>
  </si>
  <si>
    <t xml:space="preserve">Nudges gated by State</t>
  </si>
  <si>
    <t xml:space="preserve">E11-01</t>
  </si>
  <si>
    <t xml:space="preserve">E11</t>
  </si>
  <si>
    <t xml:space="preserve">Delivery, feed and WhatsApp</t>
  </si>
  <si>
    <t xml:space="preserve">WhatsApp surface: cards, voice notes, Taken replies, family thread, inbound</t>
  </si>
  <si>
    <t xml:space="preserve">Dad can complete a full day without opening the app</t>
  </si>
  <si>
    <t xml:space="preserve">E11-02</t>
  </si>
  <si>
    <t xml:space="preserve">Ranked feed with today top three and why-am-I-seeing-this</t>
  </si>
  <si>
    <t xml:space="preserve">Top three ordered alert, reminder, insight; every card explains itself</t>
  </si>
  <si>
    <t xml:space="preserve">E11-03</t>
  </si>
  <si>
    <t xml:space="preserve">Card grammar components: one number, one direction, one colour, one action</t>
  </si>
  <si>
    <t xml:space="preserve">E15-01</t>
  </si>
  <si>
    <t xml:space="preserve">Components enforce a single action per card</t>
  </si>
  <si>
    <t xml:space="preserve">E11-04</t>
  </si>
  <si>
    <t xml:space="preserve">Voice notes generated from any card in Malay, Mandarin, English</t>
  </si>
  <si>
    <t xml:space="preserve">E15-05</t>
  </si>
  <si>
    <t xml:space="preserve">Voice note under 30 seconds; Hokkien and Tamil at T2</t>
  </si>
  <si>
    <t xml:space="preserve">E11-05</t>
  </si>
  <si>
    <t xml:space="preserve">Trigger channels and caps per type</t>
  </si>
  <si>
    <t xml:space="preserve">Reminder, alert and context cards route to the configured channel</t>
  </si>
  <si>
    <t xml:space="preserve">E11-06</t>
  </si>
  <si>
    <t xml:space="preserve">Escalation ladder: Dad, helper, caregiver on duty, chief</t>
  </si>
  <si>
    <t xml:space="preserve">Third nudge goes to roster, not Dad</t>
  </si>
  <si>
    <t xml:space="preserve">E11-07</t>
  </si>
  <si>
    <t xml:space="preserve">Memo-based nudges in the person's own words</t>
  </si>
  <si>
    <t xml:space="preserve">Nudges quote the memo; no system targets</t>
  </si>
  <si>
    <t xml:space="preserve">E11-08</t>
  </si>
  <si>
    <t xml:space="preserve">Engagement feedback: format adapts to what he opens</t>
  </si>
  <si>
    <t xml:space="preserve">Switches text to voice or clip to card after configured misses</t>
  </si>
  <si>
    <t xml:space="preserve">30-second clips: weekly recap, explainers, post-visit</t>
  </si>
  <si>
    <t xml:space="preserve">E15-07</t>
  </si>
  <si>
    <t xml:space="preserve">Narrated in his language with captions; forwardable on WhatsApp</t>
  </si>
  <si>
    <t xml:space="preserve">E11-10</t>
  </si>
  <si>
    <t xml:space="preserve">Morning card ritual at a fixed time tied to breakfast</t>
  </si>
  <si>
    <t xml:space="preserve">One card daily; voice note twin</t>
  </si>
  <si>
    <t xml:space="preserve">E12-01</t>
  </si>
  <si>
    <t xml:space="preserve">E12</t>
  </si>
  <si>
    <t xml:space="preserve">Family, sharing and helper</t>
  </si>
  <si>
    <t xml:space="preserve">Roles and scoped grants by category and time window</t>
  </si>
  <si>
    <t xml:space="preserve">Chief, caregiver, viewer, helper, emergency-only; scope enforced on every read</t>
  </si>
  <si>
    <t xml:space="preserve">E12-02</t>
  </si>
  <si>
    <t xml:space="preserve">Family thread with digests, mixing health cards and messages</t>
  </si>
  <si>
    <t xml:space="preserve">Digest per day per caregiver; no stream</t>
  </si>
  <si>
    <t xml:space="preserve">Duty roster and task assignment</t>
  </si>
  <si>
    <t xml:space="preserve">Tasks assignable to siblings and helper; roster drives escalation and logistics</t>
  </si>
  <si>
    <t xml:space="preserve">E12-04</t>
  </si>
  <si>
    <t xml:space="preserve">Audit trail visible to Dad with only-me marking</t>
  </si>
  <si>
    <t xml:space="preserve">Dad sees who looked at what; only-me hides from all grants</t>
  </si>
  <si>
    <t xml:space="preserve">E12-05</t>
  </si>
  <si>
    <t xml:space="preserve">Helper mode on WhatsApp in her language</t>
  </si>
  <si>
    <t xml:space="preserve">Today's list with pill photos; given replies; not-well quick reply; no history</t>
  </si>
  <si>
    <t xml:space="preserve">E12-06</t>
  </si>
  <si>
    <t xml:space="preserve">Push composer with preview and scheduling</t>
  </si>
  <si>
    <t xml:space="preserve">Chief sees exactly what Dad will see; sends at a State-appropriate time</t>
  </si>
  <si>
    <t xml:space="preserve">E12-07</t>
  </si>
  <si>
    <t xml:space="preserve">Caregiver load view: hours, tasks, distribution</t>
  </si>
  <si>
    <t xml:space="preserve">Weekly view per family member</t>
  </si>
  <si>
    <t xml:space="preserve">E12-08</t>
  </si>
  <si>
    <t xml:space="preserve">Incapacity and death handling: who inherits the graph, what is deleted</t>
  </si>
  <si>
    <t xml:space="preserve">Documented flow executed on a verified event</t>
  </si>
  <si>
    <t xml:space="preserve">E12-09</t>
  </si>
  <si>
    <t xml:space="preserve">LPA and consent document storage</t>
  </si>
  <si>
    <t xml:space="preserve">Documents attached to the grant record</t>
  </si>
  <si>
    <t xml:space="preserve">E13-01</t>
  </si>
  <si>
    <t xml:space="preserve">E13</t>
  </si>
  <si>
    <t xml:space="preserve">Safety and emergency</t>
  </si>
  <si>
    <t xml:space="preserve">Offline emergency card, lock-screen widget, printable page</t>
  </si>
  <si>
    <t xml:space="preserve">Conditions, medicines, allergies, blood type, contacts, insurer in two languages; works with no data</t>
  </si>
  <si>
    <t xml:space="preserve">E13-02</t>
  </si>
  <si>
    <t xml:space="preserve">Not-feeling-well flow: voice capture, State check, what to do now, notify family</t>
  </si>
  <si>
    <t xml:space="preserve">E00-04,E11-06</t>
  </si>
  <si>
    <t xml:space="preserve">Three steps; guidance is rest, call clinic or go now; family notified</t>
  </si>
  <si>
    <t xml:space="preserve">E13-03</t>
  </si>
  <si>
    <t xml:space="preserve">A&amp;E versus clinic guidance with nearest appropriate option and cost</t>
  </si>
  <si>
    <t xml:space="preserve">E13-02,E08-01</t>
  </si>
  <si>
    <t xml:space="preserve">Nearest option with expected cost</t>
  </si>
  <si>
    <t xml:space="preserve">E13-04</t>
  </si>
  <si>
    <t xml:space="preserve">Advance care planning documents stored and shareable</t>
  </si>
  <si>
    <t xml:space="preserve">Documents shareable by link to the clinic</t>
  </si>
  <si>
    <t xml:space="preserve">E14</t>
  </si>
  <si>
    <t xml:space="preserve">Symptoms and observations</t>
  </si>
  <si>
    <t xml:space="preserve">Symptom log by voice with severity and duration</t>
  </si>
  <si>
    <t xml:space="preserve">Logged in his words; appears in the pre-visit brief</t>
  </si>
  <si>
    <t xml:space="preserve">E14-02</t>
  </si>
  <si>
    <t xml:space="preserve">Photo timelines for wounds, rashes and swelling with side-by-side comparison</t>
  </si>
  <si>
    <t xml:space="preserve">Two photos compared with dates</t>
  </si>
  <si>
    <t xml:space="preserve">E14-03</t>
  </si>
  <si>
    <t xml:space="preserve">Mood and energy one-tap only when a condition or medicine makes it relevant</t>
  </si>
  <si>
    <t xml:space="preserve">Gated by State; never framed clinically</t>
  </si>
  <si>
    <t xml:space="preserve">E15</t>
  </si>
  <si>
    <t xml:space="preserve">Design system and accessibility</t>
  </si>
  <si>
    <t xml:space="preserve">Design tokens, state washes, glass and paper components</t>
  </si>
  <si>
    <t xml:space="preserve">Tokens match design-system.md; washes cross-fade on State change</t>
  </si>
  <si>
    <t xml:space="preserve">E15-02</t>
  </si>
  <si>
    <t xml:space="preserve">Dad density mode: 20px body, 56px targets, paper-first, one action per tile</t>
  </si>
  <si>
    <t xml:space="preserve">Contrast 7:1 on every decision element</t>
  </si>
  <si>
    <t xml:space="preserve">E15-03</t>
  </si>
  <si>
    <t xml:space="preserve">Chief density mode: glass-first, 16px body</t>
  </si>
  <si>
    <t xml:space="preserve">Dense screens remain readable at 360px</t>
  </si>
  <si>
    <t xml:space="preserve">E15-04</t>
  </si>
  <si>
    <t xml:space="preserve">Accessibility audit: contrast, dynamic type to 200%, reduced motion</t>
  </si>
  <si>
    <t xml:space="preserve">Audit passes before T1 release</t>
  </si>
  <si>
    <t xml:space="preserve">Localisation framework: Malay, Mandarin, English text; Tamil and Hokkien voice</t>
  </si>
  <si>
    <t xml:space="preserve">Every string externalised; voice language per person</t>
  </si>
  <si>
    <t xml:space="preserve">Body-systems map component</t>
  </si>
  <si>
    <t xml:space="preserve">Outline figure with soft glows; doubles as filter</t>
  </si>
  <si>
    <t xml:space="preserve">Clip and voice-note player</t>
  </si>
  <si>
    <t xml:space="preserve">Large play target; transcript in Dad body size</t>
  </si>
  <si>
    <t xml:space="preserve">E16-01</t>
  </si>
  <si>
    <t xml:space="preserve">E16</t>
  </si>
  <si>
    <t xml:space="preserve">Trust, boundary and regulatory</t>
  </si>
  <si>
    <t xml:space="preserve">Boundary copy on every inferring screen</t>
  </si>
  <si>
    <t xml:space="preserve">Organises, prepares, surfaces patterns to discuss; does not diagnose or treat</t>
  </si>
  <si>
    <t xml:space="preserve">E16-02</t>
  </si>
  <si>
    <t xml:space="preserve">Recording consent pattern with legal review in SG and MY</t>
  </si>
  <si>
    <t xml:space="preserve">Doctor notified aloud or by printed notice; consent stored</t>
  </si>
  <si>
    <t xml:space="preserve">E16-03</t>
  </si>
  <si>
    <t xml:space="preserve">SaMD boundary review (HSA, MDA): guideline-referenced, non-real-time, informational outputs</t>
  </si>
  <si>
    <t xml:space="preserve">Written review signed off before any flag ships</t>
  </si>
  <si>
    <t xml:space="preserve">E16-04</t>
  </si>
  <si>
    <t xml:space="preserve">High-risk drug rule: label photo required before a dose is saved</t>
  </si>
  <si>
    <t xml:space="preserve">Warfarin, insulin, digoxin, methotrexate, opioids cannot be saved from voice alone</t>
  </si>
  <si>
    <t xml:space="preserve">E16-05</t>
  </si>
  <si>
    <t xml:space="preserve">PDPA data map, breach process and DPO</t>
  </si>
  <si>
    <t xml:space="preserve">Data map covers both countries; breach runbook tested</t>
  </si>
  <si>
    <t xml:space="preserve">E17-01</t>
  </si>
  <si>
    <t xml:space="preserve">E17</t>
  </si>
  <si>
    <t xml:space="preserve">Feeling cloud and smart nudges</t>
  </si>
  <si>
    <t xml:space="preserve">State-conditioned feeling cloud on Today: base words plus emphasis and additions from State; shown only after a change, at most once a day</t>
  </si>
  <si>
    <t xml:space="preserve">Patient</t>
  </si>
  <si>
    <t xml:space="preserve">Words re-rank within a second of a State change; disappears after a tap or Fine today</t>
  </si>
  <si>
    <t xml:space="preserve">E17-02</t>
  </si>
  <si>
    <t xml:space="preserve">Feeling inference: tap plus one follow-up read against medicines, readings and this week's changes; outcomes logged, watched, added to questions, or escalated</t>
  </si>
  <si>
    <t xml:space="preserve">E17-01,E04-01</t>
  </si>
  <si>
    <t xml:space="preserve">Red flags open not-feeling-well and notify the roster within one minute; every inference names its reason</t>
  </si>
  <si>
    <t xml:space="preserve">E17-03</t>
  </si>
  <si>
    <t xml:space="preserve">Smart nudge engine: presence, commitment, pattern, check-in, recognition, anticipation, curiosity, context; two a day; quiet hours; none on alert days</t>
  </si>
  <si>
    <t xml:space="preserve">E00-04,E05-06</t>
  </si>
  <si>
    <t xml:space="preserve">Cap enforced per profile per day; every nudge carries why; dismissals feed ranking</t>
  </si>
  <si>
    <t xml:space="preserve">E17-04</t>
  </si>
  <si>
    <t xml:space="preserve">The number that only goes up on Me</t>
  </si>
  <si>
    <t xml:space="preserve">Never decreases; no streak language</t>
  </si>
  <si>
    <t xml:space="preserve">E17-05</t>
  </si>
  <si>
    <t xml:space="preserve">Nudge and check-in metrics: taps per week, Fine-today share, acceptance by kind</t>
  </si>
  <si>
    <t xml:space="preserve">Dashboard shows weekly counts per profile</t>
  </si>
  <si>
    <t xml:space="preserve">E18-01</t>
  </si>
  <si>
    <t xml:space="preserve">E18</t>
  </si>
  <si>
    <t xml:space="preserve">Read-only connectors</t>
  </si>
  <si>
    <t xml:space="preserve">Photos on-device scan for documents, boxes and portal screenshots with grid confirmation</t>
  </si>
  <si>
    <t xml:space="preserve">Nothing uploaded before confirmation; scan of two years completes under a minute</t>
  </si>
  <si>
    <t xml:space="preserve">E18-02</t>
  </si>
  <si>
    <t xml:space="preserve">Calendar read-only connector: events matching providers or health keywords become candidate appointments</t>
  </si>
  <si>
    <t xml:space="preserve">Caregiver</t>
  </si>
  <si>
    <t xml:space="preserve">Candidates suggested, never auto-added</t>
  </si>
  <si>
    <t xml:space="preserve">E18-03</t>
  </si>
  <si>
    <t xml:space="preserve">Email connector with sender allowlists (Outlook, IMAP first; Gmail after verification); attachments first; review card per item</t>
  </si>
  <si>
    <t xml:space="preserve">E00-02,E02-07</t>
  </si>
  <si>
    <t xml:space="preserve">Only approved senders fetched; each item shown before storage; revocable in one tap</t>
  </si>
  <si>
    <t xml:space="preserve">E18-04</t>
  </si>
  <si>
    <t xml:space="preserve">WhatsApp family health group ingestion where the platform supports it; forwarding fallback</t>
  </si>
  <si>
    <t xml:space="preserve">Everyone</t>
  </si>
  <si>
    <t xml:space="preserve">E19-02</t>
  </si>
  <si>
    <t xml:space="preserve">Non-health messages dropped before storage; ignore honoured</t>
  </si>
  <si>
    <t xml:space="preserve">E18-05</t>
  </si>
  <si>
    <t xml:space="preserve">Android SMS from allowlisted clinic numbers</t>
  </si>
  <si>
    <t xml:space="preserve">Reminders and result-ready messages become events</t>
  </si>
  <si>
    <t xml:space="preserve">E18-06</t>
  </si>
  <si>
    <t xml:space="preserve">Chat export import as a biography source with third-party filtering</t>
  </si>
  <si>
    <t xml:space="preserve">Only messages carrying documents or health events about the owner are kept</t>
  </si>
  <si>
    <t xml:space="preserve">E18-07</t>
  </si>
  <si>
    <t xml:space="preserve">Connector rules enforcement and audit: purpose-bound, allowlisted, shown before stored, nothing trains anything</t>
  </si>
  <si>
    <t xml:space="preserve">Every connector ingestion has an audit entry visible to the owner</t>
  </si>
  <si>
    <t xml:space="preserve">E19-01</t>
  </si>
  <si>
    <t xml:space="preserve">E19</t>
  </si>
  <si>
    <t xml:space="preserve">WhatsApp agent</t>
  </si>
  <si>
    <t xml:space="preserve">Business number, provider, verification and the six approved templates (morning card, visit card, reorder, nudge, digest, red flag)</t>
  </si>
  <si>
    <t xml:space="preserve">Templates approved; number live in the launch country</t>
  </si>
  <si>
    <t xml:space="preserve">Private threads: phone number resolves to Person and keys; free-form replies within the 24-hour window; scope enforced</t>
  </si>
  <si>
    <t xml:space="preserve">E00-01,E12-01</t>
  </si>
  <si>
    <t xml:space="preserve">A caregiver asking outside scope gets the same refusal as in the app</t>
  </si>
  <si>
    <t xml:space="preserve">E19-03</t>
  </si>
  <si>
    <t xml:space="preserve">Patient Level 0 on WhatsApp: morning card, feeling words, visit card, family notes, OK and button replies</t>
  </si>
  <si>
    <t xml:space="preserve">E19-02,E11-01</t>
  </si>
  <si>
    <t xml:space="preserve">A patient completes a full day without the app</t>
  </si>
  <si>
    <t xml:space="preserve">E19-04</t>
  </si>
  <si>
    <t xml:space="preserve">Group classifier: document, health event, coordination, other; only the first two kept; events become proposals confirmed by the poster</t>
  </si>
  <si>
    <t xml:space="preserve">Confirmation tap required before the record changes; receipts file through the review card</t>
  </si>
  <si>
    <t xml:space="preserve">E19-05</t>
  </si>
  <si>
    <t xml:space="preserve">Red flags posted by anyone escalate in-thread and to the roster</t>
  </si>
  <si>
    <t xml:space="preserve">Escalation within one minute with the panel hospital named</t>
  </si>
  <si>
    <t xml:space="preserve">E19-06</t>
  </si>
  <si>
    <t xml:space="preserve">Weekly digest on request and the Sunday recap in the group</t>
  </si>
  <si>
    <t xml:space="preserve">Digest covers only kept items</t>
  </si>
  <si>
    <t xml:space="preserve">E20-01</t>
  </si>
  <si>
    <t xml:space="preserve">E20</t>
  </si>
  <si>
    <t xml:space="preserve">Appointment planner</t>
  </si>
  <si>
    <t xml:space="preserve">Appointment planner: read everything since a visit was booked; recommend bring forward, add, sequence, consolidate with rule, evidence, consequence</t>
  </si>
  <si>
    <t xml:space="preserve">E03-01,E00-04,E04-01</t>
  </si>
  <si>
    <t xml:space="preserve">Every recommendation names its rule and evidence; nothing booked without confirm</t>
  </si>
  <si>
    <t xml:space="preserve">E20-02</t>
  </si>
  <si>
    <t xml:space="preserve">Monitoring rules: medicine changes set their own checks; conditions carry cadences; results before reviews</t>
  </si>
  <si>
    <t xml:space="preserve">A diuretic change creates a two-week electrolyte check in the plan</t>
  </si>
  <si>
    <t xml:space="preserve">E20-03</t>
  </si>
  <si>
    <t xml:space="preserve">Feelings adjust urgency; red flags bypass the plan to the same-day path</t>
  </si>
  <si>
    <t xml:space="preserve">E17-02,E20-01</t>
  </si>
  <si>
    <t xml:space="preserve">Sudden blurring never enters the planner</t>
  </si>
  <si>
    <t xml:space="preserve">E20-04</t>
  </si>
  <si>
    <t xml:space="preserve">Patient one-line plan card with OK</t>
  </si>
  <si>
    <t xml:space="preserve">One card, plain words, one button</t>
  </si>
  <si>
    <t xml:space="preserve">E21-01</t>
  </si>
  <si>
    <t xml:space="preserve">E21</t>
  </si>
  <si>
    <t xml:space="preserve">Vertical feed</t>
  </si>
  <si>
    <t xml:space="preserve">Vertical full-screen pager: paging scroll, container-relative cards, prefetch, cursor pagination</t>
  </si>
  <si>
    <t xml:space="preserve">Cards snap one per screen; next page loads within two cards of the end</t>
  </si>
  <si>
    <t xml:space="preserve">E21-02</t>
  </si>
  <si>
    <t xml:space="preserve">Supply order: Now, today's cards, gate, his story, learning; caregiver mode without gate</t>
  </si>
  <si>
    <t xml:space="preserve">Gate appears after today's cards; story and learning are endless and profile-scoped</t>
  </si>
  <si>
    <t xml:space="preserve">E21-03</t>
  </si>
  <si>
    <t xml:space="preserve">Card playback: voice on tap, clips with captions, AVQueuePlayer warm-up, never autoplay the next card</t>
  </si>
  <si>
    <t xml:space="preserve">No card starts audio by itself</t>
  </si>
  <si>
    <t xml:space="preserve">E21-04</t>
  </si>
  <si>
    <t xml:space="preserve">Side actions on every card: Hear, Ask, Family, Not for me</t>
  </si>
  <si>
    <t xml:space="preserve">Not for me suppresses the card kind for the profile</t>
  </si>
  <si>
    <t xml:space="preserve">E21-05</t>
  </si>
  <si>
    <t xml:space="preserve">Story cards from the record: what the doctor said, number changes, family photos, the proud number</t>
  </si>
  <si>
    <t xml:space="preserve">E03-05,E12-02</t>
  </si>
  <si>
    <t xml:space="preserve">Story supply regenerates weekly from memory</t>
  </si>
  <si>
    <t xml:space="preserve">E21-06</t>
  </si>
  <si>
    <t xml:space="preserve">Evergreen learning supply from allowlisted sources per condition and medicine, plain words, in language</t>
  </si>
  <si>
    <t xml:space="preserve">E11-04,E16-01</t>
  </si>
  <si>
    <t xml:space="preserve">No card from outside the allowlist; every card cites its page</t>
  </si>
  <si>
    <t xml:space="preserve">E22-01</t>
  </si>
  <si>
    <t xml:space="preserve">E22</t>
  </si>
  <si>
    <t xml:space="preserve">Plain words and voice</t>
  </si>
  <si>
    <t xml:space="preserve">Plain-words verifier in the content service: sentence completeness, readability, glossary, banned words, day-and-date, who-does-next</t>
  </si>
  <si>
    <t xml:space="preserve">Every patient string fails or passes with a reason; failures cannot ship</t>
  </si>
  <si>
    <t xml:space="preserve">E22-02</t>
  </si>
  <si>
    <t xml:space="preserve">Glossary and translation memory for English, Malay, Mandarin; the same words every time</t>
  </si>
  <si>
    <t xml:space="preserve">Term consistency enforced across cards, voice and WhatsApp</t>
  </si>
  <si>
    <t xml:space="preserve">E22-03</t>
  </si>
  <si>
    <t xml:space="preserve">Voice scripts: every card rendered as a spoken script with pauses; pre-rendered audio per language; synthesiser fallback</t>
  </si>
  <si>
    <t xml:space="preserve">Every patient card has audio within a minute of creation</t>
  </si>
  <si>
    <t xml:space="preserve">E22-04</t>
  </si>
  <si>
    <t xml:space="preserve">Pharmacist review queue for new sources and the first fifty strings per card type</t>
  </si>
  <si>
    <t xml:space="preserve">Nothing from a new source reaches a patient before review</t>
  </si>
  <si>
    <t xml:space="preserve">Stories</t>
  </si>
  <si>
    <t xml:space="preserve">Large</t>
  </si>
  <si>
    <t xml:space="preserve">Total</t>
  </si>
  <si>
    <t xml:space="preserve">Column</t>
  </si>
  <si>
    <t xml:space="preserve">Meaning</t>
  </si>
  <si>
    <t xml:space="preserve">Epic code plus a running number. Stable once assigned.</t>
  </si>
  <si>
    <t xml:space="preserve">Dad = patient surface. Chief = adult-child caregiver. Helper = domestic helper on WhatsApp. Clinic = doctor-facing output. All = more than one. System = backend or platform.</t>
  </si>
  <si>
    <t xml:space="preserve">T1 = weeks 0-12, the daily loop. T2 = weeks 12-24, the clinical loop. T3 = weeks 24-36, navigation and media. All three are Stage 1.</t>
  </si>
  <si>
    <t xml:space="preserve">P1 must ship in its tier. P2 should ship in its tier. P3 can slip a tier.</t>
  </si>
  <si>
    <t xml:space="preserve">S under a week for a pair. M one to two weeks. L three weeks or more, split before building.</t>
  </si>
  <si>
    <t xml:space="preserve">IDs that must be done first. Empty means none.</t>
  </si>
  <si>
    <t xml:space="preserve">The one test that says the story is done. Expand into scenarios when picked up.</t>
  </si>
  <si>
    <t xml:space="preserve">Status, Owner</t>
  </si>
  <si>
    <t xml:space="preserve">Fill these in. Status values: Backlog, Ready, In progress, Review, Done.</t>
  </si>
  <si>
    <t xml:space="preserve">Source</t>
  </si>
  <si>
    <t xml:space="preserve">Stories consolidate stage1-product-design.md, medications-module.md and design-system.md. Sizes and priorities are the author's estimates and should be re-pointed by the team.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</si>
</sst>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E3A78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4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4E3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4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4E3A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7"/>
    <col collapsed="false" customWidth="true" hidden="false" outlineLevel="0" max="3" min="3" style="1" width="28"/>
    <col collapsed="false" customWidth="true" hidden="false" outlineLevel="0" max="4" min="4" style="1" width="58"/>
    <col collapsed="false" customWidth="true" hidden="false" outlineLevel="0" max="5" min="5" style="1" width="10"/>
    <col collapsed="false" customWidth="true" hidden="false" outlineLevel="0" max="6" min="6" style="1" width="7"/>
    <col collapsed="false" customWidth="true" hidden="false" outlineLevel="0" max="7" min="7" style="1" width="8"/>
    <col collapsed="false" customWidth="true" hidden="false" outlineLevel="0" max="8" min="8" style="1" width="6"/>
    <col collapsed="false" customWidth="true" hidden="false" outlineLevel="0" max="9" min="9" style="1" width="16"/>
    <col collapsed="false" customWidth="true" hidden="false" outlineLevel="0" max="10" min="10" style="1" width="62"/>
    <col collapsed="false" customWidth="true" hidden="false" outlineLevel="0" max="11" min="11" style="1" width="11"/>
    <col collapsed="false" customWidth="true" hidden="false" outlineLevel="0" max="12" min="12" style="1" width="1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23.25" hidden="false" customHeight="tru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3"/>
    </row>
    <row r="3" customFormat="false" ht="23.25" hidden="false" customHeight="true" outlineLevel="0" collapsed="false">
      <c r="A3" s="3" t="s">
        <v>22</v>
      </c>
      <c r="B3" s="3" t="s">
        <v>13</v>
      </c>
      <c r="C3" s="3" t="s">
        <v>14</v>
      </c>
      <c r="D3" s="3" t="s">
        <v>23</v>
      </c>
      <c r="E3" s="3" t="s">
        <v>24</v>
      </c>
      <c r="F3" s="3" t="s">
        <v>17</v>
      </c>
      <c r="G3" s="3" t="s">
        <v>18</v>
      </c>
      <c r="H3" s="3" t="s">
        <v>25</v>
      </c>
      <c r="I3" s="3"/>
      <c r="J3" s="3" t="s">
        <v>26</v>
      </c>
      <c r="K3" s="3" t="s">
        <v>21</v>
      </c>
      <c r="L3" s="3"/>
    </row>
    <row r="4" customFormat="false" ht="23.25" hidden="false" customHeight="true" outlineLevel="0" collapsed="false">
      <c r="A4" s="3" t="s">
        <v>27</v>
      </c>
      <c r="B4" s="3" t="s">
        <v>13</v>
      </c>
      <c r="C4" s="3" t="s">
        <v>14</v>
      </c>
      <c r="D4" s="3" t="s">
        <v>28</v>
      </c>
      <c r="E4" s="3" t="s">
        <v>16</v>
      </c>
      <c r="F4" s="3" t="s">
        <v>17</v>
      </c>
      <c r="G4" s="3" t="s">
        <v>18</v>
      </c>
      <c r="H4" s="3" t="s">
        <v>19</v>
      </c>
      <c r="I4" s="3"/>
      <c r="J4" s="3" t="s">
        <v>29</v>
      </c>
      <c r="K4" s="3" t="s">
        <v>21</v>
      </c>
      <c r="L4" s="3"/>
    </row>
    <row r="5" customFormat="false" ht="23.25" hidden="false" customHeight="true" outlineLevel="0" collapsed="false">
      <c r="A5" s="3" t="s">
        <v>30</v>
      </c>
      <c r="B5" s="3" t="s">
        <v>13</v>
      </c>
      <c r="C5" s="3" t="s">
        <v>14</v>
      </c>
      <c r="D5" s="3" t="s">
        <v>31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27</v>
      </c>
      <c r="J5" s="3" t="s">
        <v>32</v>
      </c>
      <c r="K5" s="3" t="s">
        <v>21</v>
      </c>
      <c r="L5" s="3"/>
    </row>
    <row r="6" customFormat="false" ht="23.25" hidden="false" customHeight="true" outlineLevel="0" collapsed="false">
      <c r="A6" s="3" t="s">
        <v>33</v>
      </c>
      <c r="B6" s="3" t="s">
        <v>13</v>
      </c>
      <c r="C6" s="3" t="s">
        <v>14</v>
      </c>
      <c r="D6" s="3" t="s">
        <v>34</v>
      </c>
      <c r="E6" s="3" t="s">
        <v>16</v>
      </c>
      <c r="F6" s="3" t="s">
        <v>17</v>
      </c>
      <c r="G6" s="3" t="s">
        <v>18</v>
      </c>
      <c r="H6" s="3" t="s">
        <v>25</v>
      </c>
      <c r="I6" s="3" t="s">
        <v>30</v>
      </c>
      <c r="J6" s="3" t="s">
        <v>35</v>
      </c>
      <c r="K6" s="3" t="s">
        <v>21</v>
      </c>
      <c r="L6" s="3"/>
    </row>
    <row r="7" customFormat="false" ht="23.25" hidden="false" customHeight="true" outlineLevel="0" collapsed="false">
      <c r="A7" s="3" t="s">
        <v>36</v>
      </c>
      <c r="B7" s="3" t="s">
        <v>13</v>
      </c>
      <c r="C7" s="3" t="s">
        <v>14</v>
      </c>
      <c r="D7" s="3" t="s">
        <v>37</v>
      </c>
      <c r="E7" s="3" t="s">
        <v>16</v>
      </c>
      <c r="F7" s="3" t="s">
        <v>17</v>
      </c>
      <c r="G7" s="3" t="s">
        <v>18</v>
      </c>
      <c r="H7" s="3" t="s">
        <v>25</v>
      </c>
      <c r="I7" s="3"/>
      <c r="J7" s="3" t="s">
        <v>38</v>
      </c>
      <c r="K7" s="3" t="s">
        <v>21</v>
      </c>
      <c r="L7" s="3"/>
    </row>
    <row r="8" customFormat="false" ht="15" hidden="false" customHeight="true" outlineLevel="0" collapsed="false">
      <c r="A8" s="3" t="s">
        <v>39</v>
      </c>
      <c r="B8" s="3" t="s">
        <v>13</v>
      </c>
      <c r="C8" s="3" t="s">
        <v>14</v>
      </c>
      <c r="D8" s="3" t="s">
        <v>40</v>
      </c>
      <c r="E8" s="3" t="s">
        <v>16</v>
      </c>
      <c r="F8" s="3" t="s">
        <v>17</v>
      </c>
      <c r="G8" s="3" t="s">
        <v>18</v>
      </c>
      <c r="H8" s="3" t="s">
        <v>41</v>
      </c>
      <c r="I8" s="3"/>
      <c r="J8" s="3" t="s">
        <v>42</v>
      </c>
      <c r="K8" s="3" t="s">
        <v>21</v>
      </c>
      <c r="L8" s="3"/>
    </row>
    <row r="9" customFormat="false" ht="23.25" hidden="false" customHeight="true" outlineLevel="0" collapsed="false">
      <c r="A9" s="3" t="s">
        <v>43</v>
      </c>
      <c r="B9" s="3" t="s">
        <v>13</v>
      </c>
      <c r="C9" s="3" t="s">
        <v>14</v>
      </c>
      <c r="D9" s="3" t="s">
        <v>44</v>
      </c>
      <c r="E9" s="3" t="s">
        <v>45</v>
      </c>
      <c r="F9" s="3" t="s">
        <v>17</v>
      </c>
      <c r="G9" s="3" t="s">
        <v>18</v>
      </c>
      <c r="H9" s="3" t="s">
        <v>25</v>
      </c>
      <c r="I9" s="3"/>
      <c r="J9" s="3" t="s">
        <v>46</v>
      </c>
      <c r="K9" s="3" t="s">
        <v>21</v>
      </c>
      <c r="L9" s="3"/>
    </row>
    <row r="10" customFormat="false" ht="15" hidden="false" customHeight="true" outlineLevel="0" collapsed="false">
      <c r="A10" s="3" t="s">
        <v>47</v>
      </c>
      <c r="B10" s="3" t="s">
        <v>13</v>
      </c>
      <c r="C10" s="3" t="s">
        <v>14</v>
      </c>
      <c r="D10" s="3" t="s">
        <v>48</v>
      </c>
      <c r="E10" s="3" t="s">
        <v>24</v>
      </c>
      <c r="F10" s="3" t="s">
        <v>49</v>
      </c>
      <c r="G10" s="3" t="s">
        <v>50</v>
      </c>
      <c r="H10" s="3" t="s">
        <v>25</v>
      </c>
      <c r="I10" s="3" t="s">
        <v>27</v>
      </c>
      <c r="J10" s="3" t="s">
        <v>51</v>
      </c>
      <c r="K10" s="3" t="s">
        <v>21</v>
      </c>
      <c r="L10" s="3"/>
    </row>
    <row r="11" customFormat="false" ht="23.25" hidden="false" customHeight="true" outlineLevel="0" collapsed="false">
      <c r="A11" s="3" t="s">
        <v>52</v>
      </c>
      <c r="B11" s="3" t="s">
        <v>53</v>
      </c>
      <c r="C11" s="3" t="s">
        <v>54</v>
      </c>
      <c r="D11" s="3" t="s">
        <v>55</v>
      </c>
      <c r="E11" s="3" t="s">
        <v>56</v>
      </c>
      <c r="F11" s="3" t="s">
        <v>17</v>
      </c>
      <c r="G11" s="3" t="s">
        <v>18</v>
      </c>
      <c r="H11" s="3" t="s">
        <v>25</v>
      </c>
      <c r="I11" s="3" t="s">
        <v>22</v>
      </c>
      <c r="J11" s="3" t="s">
        <v>57</v>
      </c>
      <c r="K11" s="3" t="s">
        <v>21</v>
      </c>
      <c r="L11" s="3"/>
    </row>
    <row r="12" customFormat="false" ht="23.25" hidden="false" customHeight="true" outlineLevel="0" collapsed="false">
      <c r="A12" s="3" t="s">
        <v>58</v>
      </c>
      <c r="B12" s="3" t="s">
        <v>53</v>
      </c>
      <c r="C12" s="3" t="s">
        <v>54</v>
      </c>
      <c r="D12" s="3" t="s">
        <v>59</v>
      </c>
      <c r="E12" s="3" t="s">
        <v>56</v>
      </c>
      <c r="F12" s="3" t="s">
        <v>17</v>
      </c>
      <c r="G12" s="3" t="s">
        <v>18</v>
      </c>
      <c r="H12" s="3" t="s">
        <v>19</v>
      </c>
      <c r="I12" s="3" t="s">
        <v>60</v>
      </c>
      <c r="J12" s="3" t="s">
        <v>61</v>
      </c>
      <c r="K12" s="3" t="s">
        <v>21</v>
      </c>
      <c r="L12" s="3"/>
    </row>
    <row r="13" customFormat="false" ht="15" hidden="false" customHeight="true" outlineLevel="0" collapsed="false">
      <c r="A13" s="3" t="s">
        <v>62</v>
      </c>
      <c r="B13" s="3" t="s">
        <v>53</v>
      </c>
      <c r="C13" s="3" t="s">
        <v>54</v>
      </c>
      <c r="D13" s="3" t="s">
        <v>63</v>
      </c>
      <c r="E13" s="3" t="s">
        <v>56</v>
      </c>
      <c r="F13" s="3" t="s">
        <v>17</v>
      </c>
      <c r="G13" s="3" t="s">
        <v>18</v>
      </c>
      <c r="H13" s="3" t="s">
        <v>41</v>
      </c>
      <c r="I13" s="3" t="s">
        <v>52</v>
      </c>
      <c r="J13" s="3" t="s">
        <v>64</v>
      </c>
      <c r="K13" s="3" t="s">
        <v>21</v>
      </c>
      <c r="L13" s="3"/>
    </row>
    <row r="14" customFormat="false" ht="15" hidden="false" customHeight="true" outlineLevel="0" collapsed="false">
      <c r="A14" s="3" t="s">
        <v>65</v>
      </c>
      <c r="B14" s="3" t="s">
        <v>53</v>
      </c>
      <c r="C14" s="3" t="s">
        <v>54</v>
      </c>
      <c r="D14" s="3" t="s">
        <v>66</v>
      </c>
      <c r="E14" s="3" t="s">
        <v>56</v>
      </c>
      <c r="F14" s="3" t="s">
        <v>17</v>
      </c>
      <c r="G14" s="3" t="s">
        <v>50</v>
      </c>
      <c r="H14" s="3" t="s">
        <v>41</v>
      </c>
      <c r="I14" s="3" t="s">
        <v>58</v>
      </c>
      <c r="J14" s="3" t="s">
        <v>67</v>
      </c>
      <c r="K14" s="3" t="s">
        <v>21</v>
      </c>
      <c r="L14" s="3"/>
    </row>
    <row r="15" customFormat="false" ht="23.25" hidden="false" customHeight="true" outlineLevel="0" collapsed="false">
      <c r="A15" s="3" t="s">
        <v>68</v>
      </c>
      <c r="B15" s="3" t="s">
        <v>69</v>
      </c>
      <c r="C15" s="3" t="s">
        <v>70</v>
      </c>
      <c r="D15" s="3" t="s">
        <v>71</v>
      </c>
      <c r="E15" s="3" t="s">
        <v>56</v>
      </c>
      <c r="F15" s="3" t="s">
        <v>17</v>
      </c>
      <c r="G15" s="3" t="s">
        <v>18</v>
      </c>
      <c r="H15" s="3" t="s">
        <v>19</v>
      </c>
      <c r="I15" s="3" t="s">
        <v>27</v>
      </c>
      <c r="J15" s="3" t="s">
        <v>72</v>
      </c>
      <c r="K15" s="3" t="s">
        <v>21</v>
      </c>
      <c r="L15" s="3"/>
    </row>
    <row r="16" customFormat="false" ht="23.25" hidden="false" customHeight="true" outlineLevel="0" collapsed="false">
      <c r="A16" s="3" t="s">
        <v>73</v>
      </c>
      <c r="B16" s="3" t="s">
        <v>69</v>
      </c>
      <c r="C16" s="3" t="s">
        <v>70</v>
      </c>
      <c r="D16" s="3" t="s">
        <v>74</v>
      </c>
      <c r="E16" s="3" t="s">
        <v>56</v>
      </c>
      <c r="F16" s="3" t="s">
        <v>17</v>
      </c>
      <c r="G16" s="3" t="s">
        <v>18</v>
      </c>
      <c r="H16" s="3" t="s">
        <v>19</v>
      </c>
      <c r="I16" s="3" t="s">
        <v>68</v>
      </c>
      <c r="J16" s="3" t="s">
        <v>75</v>
      </c>
      <c r="K16" s="3" t="s">
        <v>21</v>
      </c>
      <c r="L16" s="3"/>
    </row>
    <row r="17" customFormat="false" ht="15" hidden="false" customHeight="true" outlineLevel="0" collapsed="false">
      <c r="A17" s="3" t="s">
        <v>76</v>
      </c>
      <c r="B17" s="3" t="s">
        <v>69</v>
      </c>
      <c r="C17" s="3" t="s">
        <v>70</v>
      </c>
      <c r="D17" s="3" t="s">
        <v>77</v>
      </c>
      <c r="E17" s="3" t="s">
        <v>56</v>
      </c>
      <c r="F17" s="3" t="s">
        <v>17</v>
      </c>
      <c r="G17" s="3" t="s">
        <v>18</v>
      </c>
      <c r="H17" s="3" t="s">
        <v>41</v>
      </c>
      <c r="I17" s="3" t="s">
        <v>68</v>
      </c>
      <c r="J17" s="3" t="s">
        <v>78</v>
      </c>
      <c r="K17" s="3" t="s">
        <v>21</v>
      </c>
      <c r="L17" s="3"/>
    </row>
    <row r="18" customFormat="false" ht="23.25" hidden="false" customHeight="true" outlineLevel="0" collapsed="false">
      <c r="A18" s="3" t="s">
        <v>79</v>
      </c>
      <c r="B18" s="3" t="s">
        <v>69</v>
      </c>
      <c r="C18" s="3" t="s">
        <v>70</v>
      </c>
      <c r="D18" s="3" t="s">
        <v>80</v>
      </c>
      <c r="E18" s="3" t="s">
        <v>24</v>
      </c>
      <c r="F18" s="3" t="s">
        <v>17</v>
      </c>
      <c r="G18" s="3" t="s">
        <v>18</v>
      </c>
      <c r="H18" s="3" t="s">
        <v>25</v>
      </c>
      <c r="I18" s="3" t="s">
        <v>81</v>
      </c>
      <c r="J18" s="3" t="s">
        <v>82</v>
      </c>
      <c r="K18" s="3" t="s">
        <v>21</v>
      </c>
      <c r="L18" s="3"/>
    </row>
    <row r="19" customFormat="false" ht="23.25" hidden="false" customHeight="true" outlineLevel="0" collapsed="false">
      <c r="A19" s="3" t="s">
        <v>83</v>
      </c>
      <c r="B19" s="3" t="s">
        <v>69</v>
      </c>
      <c r="C19" s="3" t="s">
        <v>70</v>
      </c>
      <c r="D19" s="3" t="s">
        <v>84</v>
      </c>
      <c r="E19" s="3" t="s">
        <v>56</v>
      </c>
      <c r="F19" s="3" t="s">
        <v>17</v>
      </c>
      <c r="G19" s="3" t="s">
        <v>18</v>
      </c>
      <c r="H19" s="3" t="s">
        <v>19</v>
      </c>
      <c r="I19" s="3" t="s">
        <v>22</v>
      </c>
      <c r="J19" s="3" t="s">
        <v>85</v>
      </c>
      <c r="K19" s="3" t="s">
        <v>21</v>
      </c>
      <c r="L19" s="3"/>
    </row>
    <row r="20" customFormat="false" ht="15" hidden="false" customHeight="true" outlineLevel="0" collapsed="false">
      <c r="A20" s="3" t="s">
        <v>86</v>
      </c>
      <c r="B20" s="3" t="s">
        <v>69</v>
      </c>
      <c r="C20" s="3" t="s">
        <v>70</v>
      </c>
      <c r="D20" s="3" t="s">
        <v>87</v>
      </c>
      <c r="E20" s="3" t="s">
        <v>24</v>
      </c>
      <c r="F20" s="3" t="s">
        <v>17</v>
      </c>
      <c r="G20" s="3" t="s">
        <v>50</v>
      </c>
      <c r="H20" s="3" t="s">
        <v>41</v>
      </c>
      <c r="I20" s="3" t="s">
        <v>88</v>
      </c>
      <c r="J20" s="3" t="s">
        <v>89</v>
      </c>
      <c r="K20" s="3" t="s">
        <v>21</v>
      </c>
      <c r="L20" s="3"/>
    </row>
    <row r="21" customFormat="false" ht="15" hidden="false" customHeight="true" outlineLevel="0" collapsed="false">
      <c r="A21" s="3" t="s">
        <v>90</v>
      </c>
      <c r="B21" s="3" t="s">
        <v>69</v>
      </c>
      <c r="C21" s="3" t="s">
        <v>70</v>
      </c>
      <c r="D21" s="3" t="s">
        <v>91</v>
      </c>
      <c r="E21" s="3" t="s">
        <v>56</v>
      </c>
      <c r="F21" s="3" t="s">
        <v>17</v>
      </c>
      <c r="G21" s="3" t="s">
        <v>18</v>
      </c>
      <c r="H21" s="3" t="s">
        <v>25</v>
      </c>
      <c r="I21" s="3" t="s">
        <v>68</v>
      </c>
      <c r="J21" s="3" t="s">
        <v>92</v>
      </c>
      <c r="K21" s="3" t="s">
        <v>21</v>
      </c>
      <c r="L21" s="3"/>
    </row>
    <row r="22" customFormat="false" ht="23.25" hidden="false" customHeight="true" outlineLevel="0" collapsed="false">
      <c r="A22" s="3" t="s">
        <v>93</v>
      </c>
      <c r="B22" s="3" t="s">
        <v>69</v>
      </c>
      <c r="C22" s="3" t="s">
        <v>70</v>
      </c>
      <c r="D22" s="3" t="s">
        <v>94</v>
      </c>
      <c r="E22" s="3" t="s">
        <v>45</v>
      </c>
      <c r="F22" s="3" t="s">
        <v>17</v>
      </c>
      <c r="G22" s="3" t="s">
        <v>18</v>
      </c>
      <c r="H22" s="3" t="s">
        <v>25</v>
      </c>
      <c r="I22" s="3" t="s">
        <v>68</v>
      </c>
      <c r="J22" s="3" t="s">
        <v>95</v>
      </c>
      <c r="K22" s="3" t="s">
        <v>21</v>
      </c>
      <c r="L22" s="3"/>
    </row>
    <row r="23" customFormat="false" ht="15" hidden="false" customHeight="true" outlineLevel="0" collapsed="false">
      <c r="A23" s="3" t="s">
        <v>96</v>
      </c>
      <c r="B23" s="3" t="s">
        <v>69</v>
      </c>
      <c r="C23" s="3" t="s">
        <v>70</v>
      </c>
      <c r="D23" s="3" t="s">
        <v>97</v>
      </c>
      <c r="E23" s="3" t="s">
        <v>56</v>
      </c>
      <c r="F23" s="3" t="s">
        <v>49</v>
      </c>
      <c r="G23" s="3" t="s">
        <v>50</v>
      </c>
      <c r="H23" s="3" t="s">
        <v>25</v>
      </c>
      <c r="I23" s="3" t="s">
        <v>36</v>
      </c>
      <c r="J23" s="3" t="s">
        <v>98</v>
      </c>
      <c r="K23" s="3" t="s">
        <v>21</v>
      </c>
      <c r="L23" s="3"/>
    </row>
    <row r="24" customFormat="false" ht="15" hidden="false" customHeight="true" outlineLevel="0" collapsed="false">
      <c r="A24" s="3" t="s">
        <v>99</v>
      </c>
      <c r="B24" s="3" t="s">
        <v>69</v>
      </c>
      <c r="C24" s="3" t="s">
        <v>70</v>
      </c>
      <c r="D24" s="3" t="s">
        <v>100</v>
      </c>
      <c r="E24" s="3" t="s">
        <v>56</v>
      </c>
      <c r="F24" s="3" t="s">
        <v>49</v>
      </c>
      <c r="G24" s="3" t="s">
        <v>50</v>
      </c>
      <c r="H24" s="3" t="s">
        <v>41</v>
      </c>
      <c r="I24" s="3" t="s">
        <v>101</v>
      </c>
      <c r="J24" s="3" t="s">
        <v>102</v>
      </c>
      <c r="K24" s="3" t="s">
        <v>21</v>
      </c>
      <c r="L24" s="3"/>
    </row>
    <row r="25" customFormat="false" ht="23.25" hidden="false" customHeight="true" outlineLevel="0" collapsed="false">
      <c r="A25" s="3" t="s">
        <v>103</v>
      </c>
      <c r="B25" s="3" t="s">
        <v>69</v>
      </c>
      <c r="C25" s="3" t="s">
        <v>70</v>
      </c>
      <c r="D25" s="3" t="s">
        <v>104</v>
      </c>
      <c r="E25" s="3" t="s">
        <v>45</v>
      </c>
      <c r="F25" s="3" t="s">
        <v>49</v>
      </c>
      <c r="G25" s="3" t="s">
        <v>50</v>
      </c>
      <c r="H25" s="3" t="s">
        <v>19</v>
      </c>
      <c r="I25" s="3" t="s">
        <v>27</v>
      </c>
      <c r="J25" s="3" t="s">
        <v>105</v>
      </c>
      <c r="K25" s="3" t="s">
        <v>21</v>
      </c>
      <c r="L25" s="3"/>
    </row>
    <row r="26" customFormat="false" ht="15" hidden="false" customHeight="true" outlineLevel="0" collapsed="false">
      <c r="A26" s="3" t="s">
        <v>106</v>
      </c>
      <c r="B26" s="3" t="s">
        <v>107</v>
      </c>
      <c r="C26" s="3" t="s">
        <v>108</v>
      </c>
      <c r="D26" s="3" t="s">
        <v>109</v>
      </c>
      <c r="E26" s="3" t="s">
        <v>24</v>
      </c>
      <c r="F26" s="3" t="s">
        <v>17</v>
      </c>
      <c r="G26" s="3" t="s">
        <v>18</v>
      </c>
      <c r="H26" s="3" t="s">
        <v>25</v>
      </c>
      <c r="I26" s="3" t="s">
        <v>27</v>
      </c>
      <c r="J26" s="3" t="s">
        <v>110</v>
      </c>
      <c r="K26" s="3" t="s">
        <v>21</v>
      </c>
      <c r="L26" s="3"/>
    </row>
    <row r="27" customFormat="false" ht="15" hidden="false" customHeight="true" outlineLevel="0" collapsed="false">
      <c r="A27" s="3" t="s">
        <v>88</v>
      </c>
      <c r="B27" s="3" t="s">
        <v>107</v>
      </c>
      <c r="C27" s="3" t="s">
        <v>108</v>
      </c>
      <c r="D27" s="3" t="s">
        <v>111</v>
      </c>
      <c r="E27" s="3" t="s">
        <v>56</v>
      </c>
      <c r="F27" s="3" t="s">
        <v>17</v>
      </c>
      <c r="G27" s="3" t="s">
        <v>18</v>
      </c>
      <c r="H27" s="3" t="s">
        <v>25</v>
      </c>
      <c r="I27" s="3" t="s">
        <v>27</v>
      </c>
      <c r="J27" s="3" t="s">
        <v>112</v>
      </c>
      <c r="K27" s="3" t="s">
        <v>21</v>
      </c>
      <c r="L27" s="3"/>
    </row>
    <row r="28" customFormat="false" ht="15" hidden="false" customHeight="true" outlineLevel="0" collapsed="false">
      <c r="A28" s="3" t="s">
        <v>113</v>
      </c>
      <c r="B28" s="3" t="s">
        <v>107</v>
      </c>
      <c r="C28" s="3" t="s">
        <v>108</v>
      </c>
      <c r="D28" s="3" t="s">
        <v>114</v>
      </c>
      <c r="E28" s="3" t="s">
        <v>56</v>
      </c>
      <c r="F28" s="3" t="s">
        <v>17</v>
      </c>
      <c r="G28" s="3" t="s">
        <v>18</v>
      </c>
      <c r="H28" s="3" t="s">
        <v>41</v>
      </c>
      <c r="I28" s="3" t="s">
        <v>106</v>
      </c>
      <c r="J28" s="3" t="s">
        <v>115</v>
      </c>
      <c r="K28" s="3" t="s">
        <v>21</v>
      </c>
      <c r="L28" s="3"/>
    </row>
    <row r="29" customFormat="false" ht="15" hidden="false" customHeight="true" outlineLevel="0" collapsed="false">
      <c r="A29" s="3" t="s">
        <v>116</v>
      </c>
      <c r="B29" s="3" t="s">
        <v>107</v>
      </c>
      <c r="C29" s="3" t="s">
        <v>108</v>
      </c>
      <c r="D29" s="3" t="s">
        <v>117</v>
      </c>
      <c r="E29" s="3" t="s">
        <v>56</v>
      </c>
      <c r="F29" s="3" t="s">
        <v>17</v>
      </c>
      <c r="G29" s="3" t="s">
        <v>18</v>
      </c>
      <c r="H29" s="3" t="s">
        <v>25</v>
      </c>
      <c r="I29" s="3" t="s">
        <v>30</v>
      </c>
      <c r="J29" s="3" t="s">
        <v>118</v>
      </c>
      <c r="K29" s="3" t="s">
        <v>21</v>
      </c>
      <c r="L29" s="3"/>
    </row>
    <row r="30" customFormat="false" ht="23.25" hidden="false" customHeight="true" outlineLevel="0" collapsed="false">
      <c r="A30" s="3" t="s">
        <v>119</v>
      </c>
      <c r="B30" s="3" t="s">
        <v>107</v>
      </c>
      <c r="C30" s="3" t="s">
        <v>108</v>
      </c>
      <c r="D30" s="3" t="s">
        <v>120</v>
      </c>
      <c r="E30" s="3" t="s">
        <v>24</v>
      </c>
      <c r="F30" s="3" t="s">
        <v>17</v>
      </c>
      <c r="G30" s="3" t="s">
        <v>18</v>
      </c>
      <c r="H30" s="3" t="s">
        <v>19</v>
      </c>
      <c r="I30" s="3" t="s">
        <v>121</v>
      </c>
      <c r="J30" s="3" t="s">
        <v>122</v>
      </c>
      <c r="K30" s="3" t="s">
        <v>21</v>
      </c>
      <c r="L30" s="3"/>
    </row>
    <row r="31" customFormat="false" ht="15" hidden="false" customHeight="true" outlineLevel="0" collapsed="false">
      <c r="A31" s="3" t="s">
        <v>123</v>
      </c>
      <c r="B31" s="3" t="s">
        <v>107</v>
      </c>
      <c r="C31" s="3" t="s">
        <v>108</v>
      </c>
      <c r="D31" s="3" t="s">
        <v>124</v>
      </c>
      <c r="E31" s="3" t="s">
        <v>24</v>
      </c>
      <c r="F31" s="3" t="s">
        <v>49</v>
      </c>
      <c r="G31" s="3" t="s">
        <v>50</v>
      </c>
      <c r="H31" s="3" t="s">
        <v>25</v>
      </c>
      <c r="I31" s="3" t="s">
        <v>125</v>
      </c>
      <c r="J31" s="3" t="s">
        <v>126</v>
      </c>
      <c r="K31" s="3" t="s">
        <v>21</v>
      </c>
      <c r="L31" s="3"/>
    </row>
    <row r="32" customFormat="false" ht="15" hidden="false" customHeight="true" outlineLevel="0" collapsed="false">
      <c r="A32" s="3" t="s">
        <v>127</v>
      </c>
      <c r="B32" s="3" t="s">
        <v>107</v>
      </c>
      <c r="C32" s="3" t="s">
        <v>108</v>
      </c>
      <c r="D32" s="3" t="s">
        <v>128</v>
      </c>
      <c r="E32" s="3" t="s">
        <v>56</v>
      </c>
      <c r="F32" s="3" t="s">
        <v>49</v>
      </c>
      <c r="G32" s="3" t="s">
        <v>129</v>
      </c>
      <c r="H32" s="3" t="s">
        <v>41</v>
      </c>
      <c r="I32" s="3" t="s">
        <v>119</v>
      </c>
      <c r="J32" s="3" t="s">
        <v>130</v>
      </c>
      <c r="K32" s="3" t="s">
        <v>21</v>
      </c>
      <c r="L32" s="3"/>
    </row>
    <row r="33" customFormat="false" ht="15" hidden="false" customHeight="true" outlineLevel="0" collapsed="false">
      <c r="A33" s="3" t="s">
        <v>131</v>
      </c>
      <c r="B33" s="3" t="s">
        <v>132</v>
      </c>
      <c r="C33" s="3" t="s">
        <v>133</v>
      </c>
      <c r="D33" s="3" t="s">
        <v>134</v>
      </c>
      <c r="E33" s="3" t="s">
        <v>56</v>
      </c>
      <c r="F33" s="3" t="s">
        <v>17</v>
      </c>
      <c r="G33" s="3" t="s">
        <v>18</v>
      </c>
      <c r="H33" s="3" t="s">
        <v>25</v>
      </c>
      <c r="I33" s="3" t="s">
        <v>135</v>
      </c>
      <c r="J33" s="3" t="s">
        <v>136</v>
      </c>
      <c r="K33" s="3" t="s">
        <v>21</v>
      </c>
      <c r="L33" s="3"/>
    </row>
    <row r="34" customFormat="false" ht="15" hidden="false" customHeight="true" outlineLevel="0" collapsed="false">
      <c r="A34" s="3" t="s">
        <v>137</v>
      </c>
      <c r="B34" s="3" t="s">
        <v>132</v>
      </c>
      <c r="C34" s="3" t="s">
        <v>133</v>
      </c>
      <c r="D34" s="3" t="s">
        <v>138</v>
      </c>
      <c r="E34" s="3" t="s">
        <v>45</v>
      </c>
      <c r="F34" s="3" t="s">
        <v>17</v>
      </c>
      <c r="G34" s="3" t="s">
        <v>18</v>
      </c>
      <c r="H34" s="3" t="s">
        <v>25</v>
      </c>
      <c r="I34" s="3" t="s">
        <v>139</v>
      </c>
      <c r="J34" s="3" t="s">
        <v>140</v>
      </c>
      <c r="K34" s="3" t="s">
        <v>21</v>
      </c>
      <c r="L34" s="3"/>
    </row>
    <row r="35" customFormat="false" ht="15" hidden="false" customHeight="true" outlineLevel="0" collapsed="false">
      <c r="A35" s="3" t="s">
        <v>141</v>
      </c>
      <c r="B35" s="3" t="s">
        <v>132</v>
      </c>
      <c r="C35" s="3" t="s">
        <v>133</v>
      </c>
      <c r="D35" s="3" t="s">
        <v>142</v>
      </c>
      <c r="E35" s="3" t="s">
        <v>16</v>
      </c>
      <c r="F35" s="3" t="s">
        <v>17</v>
      </c>
      <c r="G35" s="3" t="s">
        <v>18</v>
      </c>
      <c r="H35" s="3" t="s">
        <v>25</v>
      </c>
      <c r="I35" s="3" t="s">
        <v>36</v>
      </c>
      <c r="J35" s="3" t="s">
        <v>143</v>
      </c>
      <c r="K35" s="3" t="s">
        <v>21</v>
      </c>
      <c r="L35" s="3"/>
    </row>
    <row r="36" customFormat="false" ht="23.25" hidden="false" customHeight="true" outlineLevel="0" collapsed="false">
      <c r="A36" s="3" t="s">
        <v>144</v>
      </c>
      <c r="B36" s="3" t="s">
        <v>132</v>
      </c>
      <c r="C36" s="3" t="s">
        <v>133</v>
      </c>
      <c r="D36" s="3" t="s">
        <v>145</v>
      </c>
      <c r="E36" s="3" t="s">
        <v>16</v>
      </c>
      <c r="F36" s="3" t="s">
        <v>17</v>
      </c>
      <c r="G36" s="3" t="s">
        <v>18</v>
      </c>
      <c r="H36" s="3" t="s">
        <v>25</v>
      </c>
      <c r="I36" s="3" t="s">
        <v>137</v>
      </c>
      <c r="J36" s="3" t="s">
        <v>146</v>
      </c>
      <c r="K36" s="3" t="s">
        <v>21</v>
      </c>
      <c r="L36" s="3"/>
    </row>
    <row r="37" customFormat="false" ht="15" hidden="false" customHeight="true" outlineLevel="0" collapsed="false">
      <c r="A37" s="3" t="s">
        <v>147</v>
      </c>
      <c r="B37" s="3" t="s">
        <v>132</v>
      </c>
      <c r="C37" s="3" t="s">
        <v>133</v>
      </c>
      <c r="D37" s="3" t="s">
        <v>148</v>
      </c>
      <c r="E37" s="3" t="s">
        <v>45</v>
      </c>
      <c r="F37" s="3" t="s">
        <v>17</v>
      </c>
      <c r="G37" s="3" t="s">
        <v>18</v>
      </c>
      <c r="H37" s="3" t="s">
        <v>41</v>
      </c>
      <c r="I37" s="3" t="s">
        <v>144</v>
      </c>
      <c r="J37" s="3" t="s">
        <v>149</v>
      </c>
      <c r="K37" s="3" t="s">
        <v>21</v>
      </c>
      <c r="L37" s="3"/>
    </row>
    <row r="38" customFormat="false" ht="23.25" hidden="false" customHeight="true" outlineLevel="0" collapsed="false">
      <c r="A38" s="3" t="s">
        <v>150</v>
      </c>
      <c r="B38" s="3" t="s">
        <v>132</v>
      </c>
      <c r="C38" s="3" t="s">
        <v>133</v>
      </c>
      <c r="D38" s="3" t="s">
        <v>151</v>
      </c>
      <c r="E38" s="3" t="s">
        <v>24</v>
      </c>
      <c r="F38" s="3" t="s">
        <v>17</v>
      </c>
      <c r="G38" s="3" t="s">
        <v>18</v>
      </c>
      <c r="H38" s="3" t="s">
        <v>25</v>
      </c>
      <c r="I38" s="3" t="s">
        <v>36</v>
      </c>
      <c r="J38" s="3" t="s">
        <v>152</v>
      </c>
      <c r="K38" s="3" t="s">
        <v>21</v>
      </c>
      <c r="L38" s="3"/>
    </row>
    <row r="39" customFormat="false" ht="15" hidden="false" customHeight="true" outlineLevel="0" collapsed="false">
      <c r="A39" s="3" t="s">
        <v>153</v>
      </c>
      <c r="B39" s="3" t="s">
        <v>132</v>
      </c>
      <c r="C39" s="3" t="s">
        <v>133</v>
      </c>
      <c r="D39" s="3" t="s">
        <v>154</v>
      </c>
      <c r="E39" s="3" t="s">
        <v>45</v>
      </c>
      <c r="F39" s="3" t="s">
        <v>17</v>
      </c>
      <c r="G39" s="3" t="s">
        <v>50</v>
      </c>
      <c r="H39" s="3" t="s">
        <v>41</v>
      </c>
      <c r="I39" s="3" t="s">
        <v>150</v>
      </c>
      <c r="J39" s="3" t="s">
        <v>155</v>
      </c>
      <c r="K39" s="3" t="s">
        <v>21</v>
      </c>
      <c r="L39" s="3"/>
    </row>
    <row r="40" customFormat="false" ht="23.25" hidden="false" customHeight="true" outlineLevel="0" collapsed="false">
      <c r="A40" s="3" t="s">
        <v>156</v>
      </c>
      <c r="B40" s="3" t="s">
        <v>132</v>
      </c>
      <c r="C40" s="3" t="s">
        <v>133</v>
      </c>
      <c r="D40" s="3" t="s">
        <v>157</v>
      </c>
      <c r="E40" s="3" t="s">
        <v>56</v>
      </c>
      <c r="F40" s="3" t="s">
        <v>49</v>
      </c>
      <c r="G40" s="3" t="s">
        <v>18</v>
      </c>
      <c r="H40" s="3" t="s">
        <v>19</v>
      </c>
      <c r="I40" s="3" t="s">
        <v>131</v>
      </c>
      <c r="J40" s="3" t="s">
        <v>158</v>
      </c>
      <c r="K40" s="3" t="s">
        <v>21</v>
      </c>
      <c r="L40" s="3"/>
    </row>
    <row r="41" customFormat="false" ht="23.25" hidden="false" customHeight="true" outlineLevel="0" collapsed="false">
      <c r="A41" s="3" t="s">
        <v>159</v>
      </c>
      <c r="B41" s="3" t="s">
        <v>132</v>
      </c>
      <c r="C41" s="3" t="s">
        <v>133</v>
      </c>
      <c r="D41" s="3" t="s">
        <v>160</v>
      </c>
      <c r="E41" s="3" t="s">
        <v>45</v>
      </c>
      <c r="F41" s="3" t="s">
        <v>49</v>
      </c>
      <c r="G41" s="3" t="s">
        <v>50</v>
      </c>
      <c r="H41" s="3" t="s">
        <v>25</v>
      </c>
      <c r="I41" s="3" t="s">
        <v>68</v>
      </c>
      <c r="J41" s="3" t="s">
        <v>161</v>
      </c>
      <c r="K41" s="3" t="s">
        <v>21</v>
      </c>
      <c r="L41" s="3"/>
    </row>
    <row r="42" customFormat="false" ht="15" hidden="false" customHeight="true" outlineLevel="0" collapsed="false">
      <c r="A42" s="3" t="s">
        <v>162</v>
      </c>
      <c r="B42" s="3" t="s">
        <v>132</v>
      </c>
      <c r="C42" s="3" t="s">
        <v>133</v>
      </c>
      <c r="D42" s="3" t="s">
        <v>163</v>
      </c>
      <c r="E42" s="3" t="s">
        <v>164</v>
      </c>
      <c r="F42" s="3" t="s">
        <v>49</v>
      </c>
      <c r="G42" s="3" t="s">
        <v>18</v>
      </c>
      <c r="H42" s="3" t="s">
        <v>41</v>
      </c>
      <c r="I42" s="3" t="s">
        <v>165</v>
      </c>
      <c r="J42" s="3" t="s">
        <v>166</v>
      </c>
      <c r="K42" s="3" t="s">
        <v>21</v>
      </c>
      <c r="L42" s="3"/>
    </row>
    <row r="43" customFormat="false" ht="15" hidden="false" customHeight="true" outlineLevel="0" collapsed="false">
      <c r="A43" s="3" t="s">
        <v>167</v>
      </c>
      <c r="B43" s="3" t="s">
        <v>132</v>
      </c>
      <c r="C43" s="3" t="s">
        <v>133</v>
      </c>
      <c r="D43" s="3" t="s">
        <v>168</v>
      </c>
      <c r="E43" s="3" t="s">
        <v>56</v>
      </c>
      <c r="F43" s="3" t="s">
        <v>49</v>
      </c>
      <c r="G43" s="3" t="s">
        <v>50</v>
      </c>
      <c r="H43" s="3" t="s">
        <v>25</v>
      </c>
      <c r="I43" s="3" t="s">
        <v>83</v>
      </c>
      <c r="J43" s="3" t="s">
        <v>169</v>
      </c>
      <c r="K43" s="3" t="s">
        <v>21</v>
      </c>
      <c r="L43" s="3"/>
    </row>
    <row r="44" customFormat="false" ht="15" hidden="false" customHeight="true" outlineLevel="0" collapsed="false">
      <c r="A44" s="3" t="s">
        <v>170</v>
      </c>
      <c r="B44" s="3" t="s">
        <v>132</v>
      </c>
      <c r="C44" s="3" t="s">
        <v>133</v>
      </c>
      <c r="D44" s="3" t="s">
        <v>171</v>
      </c>
      <c r="E44" s="3" t="s">
        <v>56</v>
      </c>
      <c r="F44" s="3" t="s">
        <v>49</v>
      </c>
      <c r="G44" s="3" t="s">
        <v>50</v>
      </c>
      <c r="H44" s="3" t="s">
        <v>41</v>
      </c>
      <c r="I44" s="3" t="s">
        <v>144</v>
      </c>
      <c r="J44" s="3" t="s">
        <v>172</v>
      </c>
      <c r="K44" s="3" t="s">
        <v>21</v>
      </c>
      <c r="L44" s="3"/>
    </row>
    <row r="45" customFormat="false" ht="15" hidden="false" customHeight="true" outlineLevel="0" collapsed="false">
      <c r="A45" s="3" t="s">
        <v>173</v>
      </c>
      <c r="B45" s="3" t="s">
        <v>132</v>
      </c>
      <c r="C45" s="3" t="s">
        <v>133</v>
      </c>
      <c r="D45" s="3" t="s">
        <v>174</v>
      </c>
      <c r="E45" s="3" t="s">
        <v>45</v>
      </c>
      <c r="F45" s="3" t="s">
        <v>49</v>
      </c>
      <c r="G45" s="3" t="s">
        <v>50</v>
      </c>
      <c r="H45" s="3" t="s">
        <v>41</v>
      </c>
      <c r="I45" s="3" t="s">
        <v>137</v>
      </c>
      <c r="J45" s="3" t="s">
        <v>175</v>
      </c>
      <c r="K45" s="3" t="s">
        <v>21</v>
      </c>
      <c r="L45" s="3"/>
    </row>
    <row r="46" customFormat="false" ht="15" hidden="false" customHeight="true" outlineLevel="0" collapsed="false">
      <c r="A46" s="3" t="s">
        <v>176</v>
      </c>
      <c r="B46" s="3" t="s">
        <v>132</v>
      </c>
      <c r="C46" s="3" t="s">
        <v>133</v>
      </c>
      <c r="D46" s="3" t="s">
        <v>177</v>
      </c>
      <c r="E46" s="3" t="s">
        <v>45</v>
      </c>
      <c r="F46" s="3" t="s">
        <v>49</v>
      </c>
      <c r="G46" s="3" t="s">
        <v>129</v>
      </c>
      <c r="H46" s="3" t="s">
        <v>41</v>
      </c>
      <c r="I46" s="3" t="s">
        <v>178</v>
      </c>
      <c r="J46" s="3" t="s">
        <v>179</v>
      </c>
      <c r="K46" s="3" t="s">
        <v>21</v>
      </c>
      <c r="L46" s="3"/>
    </row>
    <row r="47" customFormat="false" ht="15" hidden="false" customHeight="true" outlineLevel="0" collapsed="false">
      <c r="A47" s="3" t="s">
        <v>180</v>
      </c>
      <c r="B47" s="3" t="s">
        <v>132</v>
      </c>
      <c r="C47" s="3" t="s">
        <v>133</v>
      </c>
      <c r="D47" s="3" t="s">
        <v>181</v>
      </c>
      <c r="E47" s="3" t="s">
        <v>56</v>
      </c>
      <c r="F47" s="3" t="s">
        <v>182</v>
      </c>
      <c r="G47" s="3" t="s">
        <v>129</v>
      </c>
      <c r="H47" s="3" t="s">
        <v>25</v>
      </c>
      <c r="I47" s="3" t="s">
        <v>96</v>
      </c>
      <c r="J47" s="3" t="s">
        <v>183</v>
      </c>
      <c r="K47" s="3" t="s">
        <v>21</v>
      </c>
      <c r="L47" s="3"/>
    </row>
    <row r="48" customFormat="false" ht="15" hidden="false" customHeight="true" outlineLevel="0" collapsed="false">
      <c r="A48" s="3" t="s">
        <v>184</v>
      </c>
      <c r="B48" s="3" t="s">
        <v>132</v>
      </c>
      <c r="C48" s="3" t="s">
        <v>133</v>
      </c>
      <c r="D48" s="3" t="s">
        <v>185</v>
      </c>
      <c r="E48" s="3" t="s">
        <v>16</v>
      </c>
      <c r="F48" s="3" t="s">
        <v>49</v>
      </c>
      <c r="G48" s="3" t="s">
        <v>129</v>
      </c>
      <c r="H48" s="3" t="s">
        <v>41</v>
      </c>
      <c r="I48" s="3" t="s">
        <v>131</v>
      </c>
      <c r="J48" s="3" t="s">
        <v>186</v>
      </c>
      <c r="K48" s="3" t="s">
        <v>21</v>
      </c>
      <c r="L48" s="3"/>
    </row>
    <row r="49" customFormat="false" ht="15" hidden="false" customHeight="true" outlineLevel="0" collapsed="false">
      <c r="A49" s="3" t="s">
        <v>187</v>
      </c>
      <c r="B49" s="3" t="s">
        <v>188</v>
      </c>
      <c r="C49" s="3" t="s">
        <v>189</v>
      </c>
      <c r="D49" s="3" t="s">
        <v>190</v>
      </c>
      <c r="E49" s="3" t="s">
        <v>56</v>
      </c>
      <c r="F49" s="3" t="s">
        <v>17</v>
      </c>
      <c r="G49" s="3" t="s">
        <v>18</v>
      </c>
      <c r="H49" s="3" t="s">
        <v>25</v>
      </c>
      <c r="I49" s="3" t="s">
        <v>116</v>
      </c>
      <c r="J49" s="3" t="s">
        <v>191</v>
      </c>
      <c r="K49" s="3" t="s">
        <v>21</v>
      </c>
      <c r="L49" s="3"/>
    </row>
    <row r="50" customFormat="false" ht="23.25" hidden="false" customHeight="true" outlineLevel="0" collapsed="false">
      <c r="A50" s="3" t="s">
        <v>192</v>
      </c>
      <c r="B50" s="3" t="s">
        <v>188</v>
      </c>
      <c r="C50" s="3" t="s">
        <v>189</v>
      </c>
      <c r="D50" s="3" t="s">
        <v>193</v>
      </c>
      <c r="E50" s="3" t="s">
        <v>24</v>
      </c>
      <c r="F50" s="3" t="s">
        <v>17</v>
      </c>
      <c r="G50" s="3" t="s">
        <v>18</v>
      </c>
      <c r="H50" s="3" t="s">
        <v>25</v>
      </c>
      <c r="I50" s="3" t="s">
        <v>187</v>
      </c>
      <c r="J50" s="3" t="s">
        <v>194</v>
      </c>
      <c r="K50" s="3" t="s">
        <v>21</v>
      </c>
      <c r="L50" s="3"/>
    </row>
    <row r="51" customFormat="false" ht="15" hidden="false" customHeight="true" outlineLevel="0" collapsed="false">
      <c r="A51" s="3" t="s">
        <v>195</v>
      </c>
      <c r="B51" s="3" t="s">
        <v>188</v>
      </c>
      <c r="C51" s="3" t="s">
        <v>189</v>
      </c>
      <c r="D51" s="3" t="s">
        <v>196</v>
      </c>
      <c r="E51" s="3" t="s">
        <v>45</v>
      </c>
      <c r="F51" s="3" t="s">
        <v>17</v>
      </c>
      <c r="G51" s="3" t="s">
        <v>18</v>
      </c>
      <c r="H51" s="3" t="s">
        <v>41</v>
      </c>
      <c r="I51" s="3" t="s">
        <v>197</v>
      </c>
      <c r="J51" s="3" t="s">
        <v>198</v>
      </c>
      <c r="K51" s="3" t="s">
        <v>21</v>
      </c>
      <c r="L51" s="3"/>
    </row>
    <row r="52" customFormat="false" ht="15" hidden="false" customHeight="true" outlineLevel="0" collapsed="false">
      <c r="A52" s="3" t="s">
        <v>199</v>
      </c>
      <c r="B52" s="3" t="s">
        <v>188</v>
      </c>
      <c r="C52" s="3" t="s">
        <v>189</v>
      </c>
      <c r="D52" s="3" t="s">
        <v>200</v>
      </c>
      <c r="E52" s="3" t="s">
        <v>56</v>
      </c>
      <c r="F52" s="3" t="s">
        <v>17</v>
      </c>
      <c r="G52" s="3" t="s">
        <v>18</v>
      </c>
      <c r="H52" s="3" t="s">
        <v>41</v>
      </c>
      <c r="I52" s="3" t="s">
        <v>83</v>
      </c>
      <c r="J52" s="3" t="s">
        <v>201</v>
      </c>
      <c r="K52" s="3" t="s">
        <v>21</v>
      </c>
      <c r="L52" s="3"/>
    </row>
    <row r="53" customFormat="false" ht="23.25" hidden="false" customHeight="true" outlineLevel="0" collapsed="false">
      <c r="A53" s="3" t="s">
        <v>202</v>
      </c>
      <c r="B53" s="3" t="s">
        <v>188</v>
      </c>
      <c r="C53" s="3" t="s">
        <v>189</v>
      </c>
      <c r="D53" s="3" t="s">
        <v>203</v>
      </c>
      <c r="E53" s="3" t="s">
        <v>24</v>
      </c>
      <c r="F53" s="3" t="s">
        <v>17</v>
      </c>
      <c r="G53" s="3" t="s">
        <v>18</v>
      </c>
      <c r="H53" s="3" t="s">
        <v>19</v>
      </c>
      <c r="I53" s="3" t="s">
        <v>204</v>
      </c>
      <c r="J53" s="3" t="s">
        <v>205</v>
      </c>
      <c r="K53" s="3" t="s">
        <v>21</v>
      </c>
      <c r="L53" s="3"/>
    </row>
    <row r="54" customFormat="false" ht="23.25" hidden="false" customHeight="true" outlineLevel="0" collapsed="false">
      <c r="A54" s="3" t="s">
        <v>206</v>
      </c>
      <c r="B54" s="3" t="s">
        <v>188</v>
      </c>
      <c r="C54" s="3" t="s">
        <v>189</v>
      </c>
      <c r="D54" s="3" t="s">
        <v>207</v>
      </c>
      <c r="E54" s="3" t="s">
        <v>24</v>
      </c>
      <c r="F54" s="3" t="s">
        <v>17</v>
      </c>
      <c r="G54" s="3" t="s">
        <v>18</v>
      </c>
      <c r="H54" s="3" t="s">
        <v>25</v>
      </c>
      <c r="I54" s="3" t="s">
        <v>27</v>
      </c>
      <c r="J54" s="3" t="s">
        <v>208</v>
      </c>
      <c r="K54" s="3" t="s">
        <v>21</v>
      </c>
      <c r="L54" s="3"/>
    </row>
    <row r="55" customFormat="false" ht="15" hidden="false" customHeight="true" outlineLevel="0" collapsed="false">
      <c r="A55" s="3" t="s">
        <v>209</v>
      </c>
      <c r="B55" s="3" t="s">
        <v>188</v>
      </c>
      <c r="C55" s="3" t="s">
        <v>189</v>
      </c>
      <c r="D55" s="3" t="s">
        <v>210</v>
      </c>
      <c r="E55" s="3" t="s">
        <v>56</v>
      </c>
      <c r="F55" s="3" t="s">
        <v>49</v>
      </c>
      <c r="G55" s="3" t="s">
        <v>18</v>
      </c>
      <c r="H55" s="3" t="s">
        <v>25</v>
      </c>
      <c r="I55" s="3" t="s">
        <v>211</v>
      </c>
      <c r="J55" s="3" t="s">
        <v>212</v>
      </c>
      <c r="K55" s="3" t="s">
        <v>21</v>
      </c>
      <c r="L55" s="3"/>
    </row>
    <row r="56" customFormat="false" ht="23.25" hidden="false" customHeight="true" outlineLevel="0" collapsed="false">
      <c r="A56" s="3" t="s">
        <v>213</v>
      </c>
      <c r="B56" s="3" t="s">
        <v>188</v>
      </c>
      <c r="C56" s="3" t="s">
        <v>189</v>
      </c>
      <c r="D56" s="3" t="s">
        <v>214</v>
      </c>
      <c r="E56" s="3" t="s">
        <v>215</v>
      </c>
      <c r="F56" s="3" t="s">
        <v>49</v>
      </c>
      <c r="G56" s="3" t="s">
        <v>18</v>
      </c>
      <c r="H56" s="3" t="s">
        <v>25</v>
      </c>
      <c r="I56" s="3" t="s">
        <v>187</v>
      </c>
      <c r="J56" s="3" t="s">
        <v>216</v>
      </c>
      <c r="K56" s="3" t="s">
        <v>21</v>
      </c>
      <c r="L56" s="3"/>
    </row>
    <row r="57" customFormat="false" ht="23.25" hidden="false" customHeight="true" outlineLevel="0" collapsed="false">
      <c r="A57" s="3" t="s">
        <v>217</v>
      </c>
      <c r="B57" s="3" t="s">
        <v>188</v>
      </c>
      <c r="C57" s="3" t="s">
        <v>189</v>
      </c>
      <c r="D57" s="3" t="s">
        <v>218</v>
      </c>
      <c r="E57" s="3" t="s">
        <v>215</v>
      </c>
      <c r="F57" s="3" t="s">
        <v>49</v>
      </c>
      <c r="G57" s="3" t="s">
        <v>50</v>
      </c>
      <c r="H57" s="3" t="s">
        <v>25</v>
      </c>
      <c r="I57" s="3" t="s">
        <v>88</v>
      </c>
      <c r="J57" s="3" t="s">
        <v>219</v>
      </c>
      <c r="K57" s="3" t="s">
        <v>21</v>
      </c>
      <c r="L57" s="3"/>
    </row>
    <row r="58" customFormat="false" ht="15" hidden="false" customHeight="true" outlineLevel="0" collapsed="false">
      <c r="A58" s="3" t="s">
        <v>220</v>
      </c>
      <c r="B58" s="3" t="s">
        <v>188</v>
      </c>
      <c r="C58" s="3" t="s">
        <v>189</v>
      </c>
      <c r="D58" s="3" t="s">
        <v>221</v>
      </c>
      <c r="E58" s="3" t="s">
        <v>56</v>
      </c>
      <c r="F58" s="3" t="s">
        <v>49</v>
      </c>
      <c r="G58" s="3" t="s">
        <v>50</v>
      </c>
      <c r="H58" s="3" t="s">
        <v>25</v>
      </c>
      <c r="I58" s="3" t="s">
        <v>187</v>
      </c>
      <c r="J58" s="3" t="s">
        <v>222</v>
      </c>
      <c r="K58" s="3" t="s">
        <v>21</v>
      </c>
      <c r="L58" s="3"/>
    </row>
    <row r="59" customFormat="false" ht="23.25" hidden="false" customHeight="true" outlineLevel="0" collapsed="false">
      <c r="A59" s="3" t="s">
        <v>223</v>
      </c>
      <c r="B59" s="3" t="s">
        <v>224</v>
      </c>
      <c r="C59" s="3" t="s">
        <v>225</v>
      </c>
      <c r="D59" s="3" t="s">
        <v>226</v>
      </c>
      <c r="E59" s="3" t="s">
        <v>56</v>
      </c>
      <c r="F59" s="3" t="s">
        <v>49</v>
      </c>
      <c r="G59" s="3" t="s">
        <v>18</v>
      </c>
      <c r="H59" s="3" t="s">
        <v>19</v>
      </c>
      <c r="I59" s="3" t="s">
        <v>227</v>
      </c>
      <c r="J59" s="3" t="s">
        <v>228</v>
      </c>
      <c r="K59" s="3" t="s">
        <v>21</v>
      </c>
      <c r="L59" s="3"/>
    </row>
    <row r="60" customFormat="false" ht="15" hidden="false" customHeight="true" outlineLevel="0" collapsed="false">
      <c r="A60" s="3" t="s">
        <v>229</v>
      </c>
      <c r="B60" s="3" t="s">
        <v>224</v>
      </c>
      <c r="C60" s="3" t="s">
        <v>225</v>
      </c>
      <c r="D60" s="3" t="s">
        <v>230</v>
      </c>
      <c r="E60" s="3" t="s">
        <v>56</v>
      </c>
      <c r="F60" s="3" t="s">
        <v>49</v>
      </c>
      <c r="G60" s="3" t="s">
        <v>18</v>
      </c>
      <c r="H60" s="3" t="s">
        <v>41</v>
      </c>
      <c r="I60" s="3" t="s">
        <v>231</v>
      </c>
      <c r="J60" s="3" t="s">
        <v>232</v>
      </c>
      <c r="K60" s="3" t="s">
        <v>21</v>
      </c>
      <c r="L60" s="3"/>
    </row>
    <row r="61" customFormat="false" ht="23.25" hidden="false" customHeight="true" outlineLevel="0" collapsed="false">
      <c r="A61" s="3" t="s">
        <v>233</v>
      </c>
      <c r="B61" s="3" t="s">
        <v>224</v>
      </c>
      <c r="C61" s="3" t="s">
        <v>225</v>
      </c>
      <c r="D61" s="3" t="s">
        <v>234</v>
      </c>
      <c r="E61" s="3" t="s">
        <v>24</v>
      </c>
      <c r="F61" s="3" t="s">
        <v>49</v>
      </c>
      <c r="G61" s="3" t="s">
        <v>18</v>
      </c>
      <c r="H61" s="3" t="s">
        <v>19</v>
      </c>
      <c r="I61" s="3" t="s">
        <v>33</v>
      </c>
      <c r="J61" s="3" t="s">
        <v>235</v>
      </c>
      <c r="K61" s="3" t="s">
        <v>21</v>
      </c>
      <c r="L61" s="3"/>
    </row>
    <row r="62" customFormat="false" ht="15" hidden="false" customHeight="true" outlineLevel="0" collapsed="false">
      <c r="A62" s="3" t="s">
        <v>236</v>
      </c>
      <c r="B62" s="3" t="s">
        <v>224</v>
      </c>
      <c r="C62" s="3" t="s">
        <v>225</v>
      </c>
      <c r="D62" s="3" t="s">
        <v>237</v>
      </c>
      <c r="E62" s="3" t="s">
        <v>45</v>
      </c>
      <c r="F62" s="3" t="s">
        <v>49</v>
      </c>
      <c r="G62" s="3" t="s">
        <v>50</v>
      </c>
      <c r="H62" s="3" t="s">
        <v>41</v>
      </c>
      <c r="I62" s="3" t="s">
        <v>238</v>
      </c>
      <c r="J62" s="3" t="s">
        <v>239</v>
      </c>
      <c r="K62" s="3" t="s">
        <v>21</v>
      </c>
      <c r="L62" s="3"/>
    </row>
    <row r="63" customFormat="false" ht="15" hidden="false" customHeight="true" outlineLevel="0" collapsed="false">
      <c r="A63" s="3" t="s">
        <v>240</v>
      </c>
      <c r="B63" s="3" t="s">
        <v>224</v>
      </c>
      <c r="C63" s="3" t="s">
        <v>225</v>
      </c>
      <c r="D63" s="3" t="s">
        <v>241</v>
      </c>
      <c r="E63" s="3" t="s">
        <v>215</v>
      </c>
      <c r="F63" s="3" t="s">
        <v>182</v>
      </c>
      <c r="G63" s="3" t="s">
        <v>129</v>
      </c>
      <c r="H63" s="3" t="s">
        <v>41</v>
      </c>
      <c r="I63" s="3" t="s">
        <v>213</v>
      </c>
      <c r="J63" s="3" t="s">
        <v>242</v>
      </c>
      <c r="K63" s="3" t="s">
        <v>21</v>
      </c>
      <c r="L63" s="3"/>
    </row>
    <row r="64" customFormat="false" ht="23.25" hidden="false" customHeight="true" outlineLevel="0" collapsed="false">
      <c r="A64" s="3" t="s">
        <v>243</v>
      </c>
      <c r="B64" s="3" t="s">
        <v>244</v>
      </c>
      <c r="C64" s="3" t="s">
        <v>245</v>
      </c>
      <c r="D64" s="3" t="s">
        <v>246</v>
      </c>
      <c r="E64" s="3" t="s">
        <v>56</v>
      </c>
      <c r="F64" s="3" t="s">
        <v>49</v>
      </c>
      <c r="G64" s="3" t="s">
        <v>18</v>
      </c>
      <c r="H64" s="3" t="s">
        <v>25</v>
      </c>
      <c r="I64" s="3" t="s">
        <v>76</v>
      </c>
      <c r="J64" s="3" t="s">
        <v>247</v>
      </c>
      <c r="K64" s="3" t="s">
        <v>21</v>
      </c>
      <c r="L64" s="3"/>
    </row>
    <row r="65" customFormat="false" ht="15" hidden="false" customHeight="true" outlineLevel="0" collapsed="false">
      <c r="A65" s="3" t="s">
        <v>238</v>
      </c>
      <c r="B65" s="3" t="s">
        <v>244</v>
      </c>
      <c r="C65" s="3" t="s">
        <v>245</v>
      </c>
      <c r="D65" s="3" t="s">
        <v>248</v>
      </c>
      <c r="E65" s="3" t="s">
        <v>56</v>
      </c>
      <c r="F65" s="3" t="s">
        <v>49</v>
      </c>
      <c r="G65" s="3" t="s">
        <v>18</v>
      </c>
      <c r="H65" s="3" t="s">
        <v>25</v>
      </c>
      <c r="I65" s="3" t="s">
        <v>243</v>
      </c>
      <c r="J65" s="3" t="s">
        <v>249</v>
      </c>
      <c r="K65" s="3" t="s">
        <v>21</v>
      </c>
      <c r="L65" s="3"/>
    </row>
    <row r="66" customFormat="false" ht="15" hidden="false" customHeight="true" outlineLevel="0" collapsed="false">
      <c r="A66" s="3" t="s">
        <v>250</v>
      </c>
      <c r="B66" s="3" t="s">
        <v>244</v>
      </c>
      <c r="C66" s="3" t="s">
        <v>245</v>
      </c>
      <c r="D66" s="3" t="s">
        <v>251</v>
      </c>
      <c r="E66" s="3" t="s">
        <v>56</v>
      </c>
      <c r="F66" s="3" t="s">
        <v>49</v>
      </c>
      <c r="G66" s="3" t="s">
        <v>18</v>
      </c>
      <c r="H66" s="3" t="s">
        <v>25</v>
      </c>
      <c r="I66" s="3" t="s">
        <v>243</v>
      </c>
      <c r="J66" s="3" t="s">
        <v>252</v>
      </c>
      <c r="K66" s="3" t="s">
        <v>21</v>
      </c>
      <c r="L66" s="3"/>
    </row>
    <row r="67" customFormat="false" ht="15" hidden="false" customHeight="true" outlineLevel="0" collapsed="false">
      <c r="A67" s="3" t="s">
        <v>253</v>
      </c>
      <c r="B67" s="3" t="s">
        <v>244</v>
      </c>
      <c r="C67" s="3" t="s">
        <v>245</v>
      </c>
      <c r="D67" s="3" t="s">
        <v>254</v>
      </c>
      <c r="E67" s="3" t="s">
        <v>56</v>
      </c>
      <c r="F67" s="3" t="s">
        <v>49</v>
      </c>
      <c r="G67" s="3" t="s">
        <v>50</v>
      </c>
      <c r="H67" s="3" t="s">
        <v>25</v>
      </c>
      <c r="I67" s="3" t="s">
        <v>255</v>
      </c>
      <c r="J67" s="3" t="s">
        <v>256</v>
      </c>
      <c r="K67" s="3" t="s">
        <v>21</v>
      </c>
      <c r="L67" s="3"/>
    </row>
    <row r="68" customFormat="false" ht="15" hidden="false" customHeight="true" outlineLevel="0" collapsed="false">
      <c r="A68" s="3" t="s">
        <v>257</v>
      </c>
      <c r="B68" s="3" t="s">
        <v>244</v>
      </c>
      <c r="C68" s="3" t="s">
        <v>245</v>
      </c>
      <c r="D68" s="3" t="s">
        <v>258</v>
      </c>
      <c r="E68" s="3" t="s">
        <v>56</v>
      </c>
      <c r="F68" s="3" t="s">
        <v>49</v>
      </c>
      <c r="G68" s="3" t="s">
        <v>50</v>
      </c>
      <c r="H68" s="3" t="s">
        <v>41</v>
      </c>
      <c r="I68" s="3" t="s">
        <v>259</v>
      </c>
      <c r="J68" s="3" t="s">
        <v>260</v>
      </c>
      <c r="K68" s="3" t="s">
        <v>21</v>
      </c>
      <c r="L68" s="3"/>
    </row>
    <row r="69" customFormat="false" ht="15" hidden="false" customHeight="true" outlineLevel="0" collapsed="false">
      <c r="A69" s="3" t="s">
        <v>261</v>
      </c>
      <c r="B69" s="3" t="s">
        <v>244</v>
      </c>
      <c r="C69" s="3" t="s">
        <v>245</v>
      </c>
      <c r="D69" s="3" t="s">
        <v>262</v>
      </c>
      <c r="E69" s="3" t="s">
        <v>56</v>
      </c>
      <c r="F69" s="3" t="s">
        <v>182</v>
      </c>
      <c r="G69" s="3" t="s">
        <v>50</v>
      </c>
      <c r="H69" s="3" t="s">
        <v>19</v>
      </c>
      <c r="I69" s="3" t="s">
        <v>243</v>
      </c>
      <c r="J69" s="3" t="s">
        <v>263</v>
      </c>
      <c r="K69" s="3" t="s">
        <v>21</v>
      </c>
      <c r="L69" s="3"/>
    </row>
    <row r="70" customFormat="false" ht="23.25" hidden="false" customHeight="true" outlineLevel="0" collapsed="false">
      <c r="A70" s="3" t="s">
        <v>264</v>
      </c>
      <c r="B70" s="3" t="s">
        <v>265</v>
      </c>
      <c r="C70" s="3" t="s">
        <v>266</v>
      </c>
      <c r="D70" s="3" t="s">
        <v>267</v>
      </c>
      <c r="E70" s="3" t="s">
        <v>56</v>
      </c>
      <c r="F70" s="3" t="s">
        <v>182</v>
      </c>
      <c r="G70" s="3" t="s">
        <v>18</v>
      </c>
      <c r="H70" s="3" t="s">
        <v>19</v>
      </c>
      <c r="I70" s="3" t="s">
        <v>268</v>
      </c>
      <c r="J70" s="3" t="s">
        <v>269</v>
      </c>
      <c r="K70" s="3" t="s">
        <v>21</v>
      </c>
      <c r="L70" s="3"/>
    </row>
    <row r="71" customFormat="false" ht="15" hidden="false" customHeight="true" outlineLevel="0" collapsed="false">
      <c r="A71" s="3" t="s">
        <v>270</v>
      </c>
      <c r="B71" s="3" t="s">
        <v>265</v>
      </c>
      <c r="C71" s="3" t="s">
        <v>266</v>
      </c>
      <c r="D71" s="3" t="s">
        <v>271</v>
      </c>
      <c r="E71" s="3" t="s">
        <v>56</v>
      </c>
      <c r="F71" s="3" t="s">
        <v>182</v>
      </c>
      <c r="G71" s="3" t="s">
        <v>50</v>
      </c>
      <c r="H71" s="3" t="s">
        <v>25</v>
      </c>
      <c r="I71" s="3" t="s">
        <v>264</v>
      </c>
      <c r="J71" s="3" t="s">
        <v>272</v>
      </c>
      <c r="K71" s="3" t="s">
        <v>21</v>
      </c>
      <c r="L71" s="3"/>
    </row>
    <row r="72" customFormat="false" ht="15" hidden="false" customHeight="true" outlineLevel="0" collapsed="false">
      <c r="A72" s="3" t="s">
        <v>273</v>
      </c>
      <c r="B72" s="3" t="s">
        <v>265</v>
      </c>
      <c r="C72" s="3" t="s">
        <v>266</v>
      </c>
      <c r="D72" s="3" t="s">
        <v>274</v>
      </c>
      <c r="E72" s="3" t="s">
        <v>56</v>
      </c>
      <c r="F72" s="3" t="s">
        <v>182</v>
      </c>
      <c r="G72" s="3" t="s">
        <v>50</v>
      </c>
      <c r="H72" s="3" t="s">
        <v>25</v>
      </c>
      <c r="I72" s="3" t="s">
        <v>264</v>
      </c>
      <c r="J72" s="3" t="s">
        <v>275</v>
      </c>
      <c r="K72" s="3" t="s">
        <v>21</v>
      </c>
      <c r="L72" s="3"/>
    </row>
    <row r="73" customFormat="false" ht="15" hidden="false" customHeight="true" outlineLevel="0" collapsed="false">
      <c r="A73" s="3" t="s">
        <v>276</v>
      </c>
      <c r="B73" s="3" t="s">
        <v>265</v>
      </c>
      <c r="C73" s="3" t="s">
        <v>266</v>
      </c>
      <c r="D73" s="3" t="s">
        <v>277</v>
      </c>
      <c r="E73" s="3" t="s">
        <v>56</v>
      </c>
      <c r="F73" s="3" t="s">
        <v>182</v>
      </c>
      <c r="G73" s="3" t="s">
        <v>18</v>
      </c>
      <c r="H73" s="3" t="s">
        <v>25</v>
      </c>
      <c r="I73" s="3" t="s">
        <v>264</v>
      </c>
      <c r="J73" s="3" t="s">
        <v>278</v>
      </c>
      <c r="K73" s="3" t="s">
        <v>21</v>
      </c>
      <c r="L73" s="3"/>
    </row>
    <row r="74" customFormat="false" ht="15" hidden="false" customHeight="true" outlineLevel="0" collapsed="false">
      <c r="A74" s="3" t="s">
        <v>279</v>
      </c>
      <c r="B74" s="3" t="s">
        <v>265</v>
      </c>
      <c r="C74" s="3" t="s">
        <v>266</v>
      </c>
      <c r="D74" s="3" t="s">
        <v>280</v>
      </c>
      <c r="E74" s="3" t="s">
        <v>56</v>
      </c>
      <c r="F74" s="3" t="s">
        <v>182</v>
      </c>
      <c r="G74" s="3" t="s">
        <v>129</v>
      </c>
      <c r="H74" s="3" t="s">
        <v>41</v>
      </c>
      <c r="I74" s="3" t="s">
        <v>197</v>
      </c>
      <c r="J74" s="3" t="s">
        <v>281</v>
      </c>
      <c r="K74" s="3" t="s">
        <v>21</v>
      </c>
      <c r="L74" s="3"/>
    </row>
    <row r="75" customFormat="false" ht="15" hidden="false" customHeight="true" outlineLevel="0" collapsed="false">
      <c r="A75" s="3" t="s">
        <v>282</v>
      </c>
      <c r="B75" s="3" t="s">
        <v>283</v>
      </c>
      <c r="C75" s="3" t="s">
        <v>284</v>
      </c>
      <c r="D75" s="3" t="s">
        <v>285</v>
      </c>
      <c r="E75" s="3" t="s">
        <v>24</v>
      </c>
      <c r="F75" s="3" t="s">
        <v>17</v>
      </c>
      <c r="G75" s="3" t="s">
        <v>18</v>
      </c>
      <c r="H75" s="3" t="s">
        <v>25</v>
      </c>
      <c r="I75" s="3" t="s">
        <v>68</v>
      </c>
      <c r="J75" s="3" t="s">
        <v>286</v>
      </c>
      <c r="K75" s="3" t="s">
        <v>21</v>
      </c>
      <c r="L75" s="3"/>
    </row>
    <row r="76" customFormat="false" ht="23.25" hidden="false" customHeight="true" outlineLevel="0" collapsed="false">
      <c r="A76" s="3" t="s">
        <v>287</v>
      </c>
      <c r="B76" s="3" t="s">
        <v>283</v>
      </c>
      <c r="C76" s="3" t="s">
        <v>284</v>
      </c>
      <c r="D76" s="3" t="s">
        <v>288</v>
      </c>
      <c r="E76" s="3" t="s">
        <v>16</v>
      </c>
      <c r="F76" s="3" t="s">
        <v>49</v>
      </c>
      <c r="G76" s="3" t="s">
        <v>18</v>
      </c>
      <c r="H76" s="3" t="s">
        <v>19</v>
      </c>
      <c r="I76" s="3" t="s">
        <v>289</v>
      </c>
      <c r="J76" s="3" t="s">
        <v>290</v>
      </c>
      <c r="K76" s="3" t="s">
        <v>21</v>
      </c>
      <c r="L76" s="3"/>
    </row>
    <row r="77" customFormat="false" ht="23.25" hidden="false" customHeight="true" outlineLevel="0" collapsed="false">
      <c r="A77" s="3" t="s">
        <v>291</v>
      </c>
      <c r="B77" s="3" t="s">
        <v>283</v>
      </c>
      <c r="C77" s="3" t="s">
        <v>284</v>
      </c>
      <c r="D77" s="3" t="s">
        <v>292</v>
      </c>
      <c r="E77" s="3" t="s">
        <v>24</v>
      </c>
      <c r="F77" s="3" t="s">
        <v>49</v>
      </c>
      <c r="G77" s="3" t="s">
        <v>18</v>
      </c>
      <c r="H77" s="3" t="s">
        <v>19</v>
      </c>
      <c r="I77" s="3" t="s">
        <v>293</v>
      </c>
      <c r="J77" s="3" t="s">
        <v>294</v>
      </c>
      <c r="K77" s="3" t="s">
        <v>21</v>
      </c>
      <c r="L77" s="3"/>
    </row>
    <row r="78" customFormat="false" ht="15" hidden="false" customHeight="true" outlineLevel="0" collapsed="false">
      <c r="A78" s="3" t="s">
        <v>295</v>
      </c>
      <c r="B78" s="3" t="s">
        <v>283</v>
      </c>
      <c r="C78" s="3" t="s">
        <v>284</v>
      </c>
      <c r="D78" s="3" t="s">
        <v>296</v>
      </c>
      <c r="E78" s="3" t="s">
        <v>45</v>
      </c>
      <c r="F78" s="3" t="s">
        <v>49</v>
      </c>
      <c r="G78" s="3" t="s">
        <v>50</v>
      </c>
      <c r="H78" s="3" t="s">
        <v>19</v>
      </c>
      <c r="I78" s="3" t="s">
        <v>30</v>
      </c>
      <c r="J78" s="3" t="s">
        <v>297</v>
      </c>
      <c r="K78" s="3" t="s">
        <v>21</v>
      </c>
      <c r="L78" s="3"/>
    </row>
    <row r="79" customFormat="false" ht="23.25" hidden="false" customHeight="true" outlineLevel="0" collapsed="false">
      <c r="A79" s="3" t="s">
        <v>298</v>
      </c>
      <c r="B79" s="3" t="s">
        <v>283</v>
      </c>
      <c r="C79" s="3" t="s">
        <v>284</v>
      </c>
      <c r="D79" s="3" t="s">
        <v>299</v>
      </c>
      <c r="E79" s="3" t="s">
        <v>24</v>
      </c>
      <c r="F79" s="3" t="s">
        <v>49</v>
      </c>
      <c r="G79" s="3" t="s">
        <v>50</v>
      </c>
      <c r="H79" s="3" t="s">
        <v>25</v>
      </c>
      <c r="I79" s="3" t="s">
        <v>62</v>
      </c>
      <c r="J79" s="3" t="s">
        <v>300</v>
      </c>
      <c r="K79" s="3" t="s">
        <v>21</v>
      </c>
      <c r="L79" s="3"/>
    </row>
    <row r="80" customFormat="false" ht="15" hidden="false" customHeight="true" outlineLevel="0" collapsed="false">
      <c r="A80" s="3" t="s">
        <v>301</v>
      </c>
      <c r="B80" s="3" t="s">
        <v>283</v>
      </c>
      <c r="C80" s="3" t="s">
        <v>284</v>
      </c>
      <c r="D80" s="3" t="s">
        <v>302</v>
      </c>
      <c r="E80" s="3" t="s">
        <v>45</v>
      </c>
      <c r="F80" s="3" t="s">
        <v>49</v>
      </c>
      <c r="G80" s="3" t="s">
        <v>50</v>
      </c>
      <c r="H80" s="3" t="s">
        <v>25</v>
      </c>
      <c r="I80" s="3" t="s">
        <v>303</v>
      </c>
      <c r="J80" s="3" t="s">
        <v>304</v>
      </c>
      <c r="K80" s="3" t="s">
        <v>21</v>
      </c>
      <c r="L80" s="3"/>
    </row>
    <row r="81" customFormat="false" ht="15" hidden="false" customHeight="true" outlineLevel="0" collapsed="false">
      <c r="A81" s="3" t="s">
        <v>305</v>
      </c>
      <c r="B81" s="3" t="s">
        <v>283</v>
      </c>
      <c r="C81" s="3" t="s">
        <v>284</v>
      </c>
      <c r="D81" s="3" t="s">
        <v>306</v>
      </c>
      <c r="E81" s="3" t="s">
        <v>45</v>
      </c>
      <c r="F81" s="3" t="s">
        <v>182</v>
      </c>
      <c r="G81" s="3" t="s">
        <v>129</v>
      </c>
      <c r="H81" s="3" t="s">
        <v>41</v>
      </c>
      <c r="I81" s="3" t="s">
        <v>33</v>
      </c>
      <c r="J81" s="3" t="s">
        <v>307</v>
      </c>
      <c r="K81" s="3" t="s">
        <v>21</v>
      </c>
      <c r="L81" s="3"/>
    </row>
    <row r="82" customFormat="false" ht="23.25" hidden="false" customHeight="true" outlineLevel="0" collapsed="false">
      <c r="A82" s="3" t="s">
        <v>139</v>
      </c>
      <c r="B82" s="3" t="s">
        <v>308</v>
      </c>
      <c r="C82" s="3" t="s">
        <v>309</v>
      </c>
      <c r="D82" s="3" t="s">
        <v>310</v>
      </c>
      <c r="E82" s="3" t="s">
        <v>56</v>
      </c>
      <c r="F82" s="3" t="s">
        <v>17</v>
      </c>
      <c r="G82" s="3" t="s">
        <v>18</v>
      </c>
      <c r="H82" s="3" t="s">
        <v>25</v>
      </c>
      <c r="I82" s="3" t="s">
        <v>30</v>
      </c>
      <c r="J82" s="3" t="s">
        <v>311</v>
      </c>
      <c r="K82" s="3" t="s">
        <v>21</v>
      </c>
      <c r="L82" s="3"/>
    </row>
    <row r="83" customFormat="false" ht="15" hidden="false" customHeight="true" outlineLevel="0" collapsed="false">
      <c r="A83" s="3" t="s">
        <v>312</v>
      </c>
      <c r="B83" s="3" t="s">
        <v>308</v>
      </c>
      <c r="C83" s="3" t="s">
        <v>309</v>
      </c>
      <c r="D83" s="3" t="s">
        <v>313</v>
      </c>
      <c r="E83" s="3" t="s">
        <v>45</v>
      </c>
      <c r="F83" s="3" t="s">
        <v>49</v>
      </c>
      <c r="G83" s="3" t="s">
        <v>50</v>
      </c>
      <c r="H83" s="3" t="s">
        <v>19</v>
      </c>
      <c r="I83" s="3" t="s">
        <v>295</v>
      </c>
      <c r="J83" s="3" t="s">
        <v>314</v>
      </c>
      <c r="K83" s="3" t="s">
        <v>21</v>
      </c>
      <c r="L83" s="3"/>
    </row>
    <row r="84" customFormat="false" ht="15" hidden="false" customHeight="true" outlineLevel="0" collapsed="false">
      <c r="A84" s="3" t="s">
        <v>315</v>
      </c>
      <c r="B84" s="3" t="s">
        <v>308</v>
      </c>
      <c r="C84" s="3" t="s">
        <v>309</v>
      </c>
      <c r="D84" s="3" t="s">
        <v>316</v>
      </c>
      <c r="E84" s="3" t="s">
        <v>45</v>
      </c>
      <c r="F84" s="3" t="s">
        <v>182</v>
      </c>
      <c r="G84" s="3" t="s">
        <v>50</v>
      </c>
      <c r="H84" s="3" t="s">
        <v>25</v>
      </c>
      <c r="I84" s="3" t="s">
        <v>303</v>
      </c>
      <c r="J84" s="3" t="s">
        <v>317</v>
      </c>
      <c r="K84" s="3" t="s">
        <v>21</v>
      </c>
      <c r="L84" s="3"/>
    </row>
    <row r="85" customFormat="false" ht="15" hidden="false" customHeight="true" outlineLevel="0" collapsed="false">
      <c r="A85" s="3" t="s">
        <v>318</v>
      </c>
      <c r="B85" s="3" t="s">
        <v>308</v>
      </c>
      <c r="C85" s="3" t="s">
        <v>309</v>
      </c>
      <c r="D85" s="3" t="s">
        <v>319</v>
      </c>
      <c r="E85" s="3" t="s">
        <v>45</v>
      </c>
      <c r="F85" s="3" t="s">
        <v>182</v>
      </c>
      <c r="G85" s="3" t="s">
        <v>129</v>
      </c>
      <c r="H85" s="3" t="s">
        <v>41</v>
      </c>
      <c r="I85" s="3" t="s">
        <v>33</v>
      </c>
      <c r="J85" s="3" t="s">
        <v>320</v>
      </c>
      <c r="K85" s="3" t="s">
        <v>21</v>
      </c>
      <c r="L85" s="3"/>
    </row>
    <row r="86" customFormat="false" ht="23.25" hidden="false" customHeight="true" outlineLevel="0" collapsed="false">
      <c r="A86" s="3" t="s">
        <v>321</v>
      </c>
      <c r="B86" s="3" t="s">
        <v>322</v>
      </c>
      <c r="C86" s="3" t="s">
        <v>323</v>
      </c>
      <c r="D86" s="3" t="s">
        <v>324</v>
      </c>
      <c r="E86" s="3" t="s">
        <v>24</v>
      </c>
      <c r="F86" s="3" t="s">
        <v>17</v>
      </c>
      <c r="G86" s="3" t="s">
        <v>18</v>
      </c>
      <c r="H86" s="3" t="s">
        <v>19</v>
      </c>
      <c r="I86" s="3" t="s">
        <v>33</v>
      </c>
      <c r="J86" s="3" t="s">
        <v>325</v>
      </c>
      <c r="K86" s="3" t="s">
        <v>21</v>
      </c>
      <c r="L86" s="3"/>
    </row>
    <row r="87" customFormat="false" ht="15" hidden="false" customHeight="true" outlineLevel="0" collapsed="false">
      <c r="A87" s="3" t="s">
        <v>326</v>
      </c>
      <c r="B87" s="3" t="s">
        <v>322</v>
      </c>
      <c r="C87" s="3" t="s">
        <v>323</v>
      </c>
      <c r="D87" s="3" t="s">
        <v>327</v>
      </c>
      <c r="E87" s="3" t="s">
        <v>24</v>
      </c>
      <c r="F87" s="3" t="s">
        <v>17</v>
      </c>
      <c r="G87" s="3" t="s">
        <v>18</v>
      </c>
      <c r="H87" s="3" t="s">
        <v>19</v>
      </c>
      <c r="I87" s="3" t="s">
        <v>30</v>
      </c>
      <c r="J87" s="3" t="s">
        <v>328</v>
      </c>
      <c r="K87" s="3" t="s">
        <v>21</v>
      </c>
      <c r="L87" s="3"/>
    </row>
    <row r="88" customFormat="false" ht="23.25" hidden="false" customHeight="true" outlineLevel="0" collapsed="false">
      <c r="A88" s="3" t="s">
        <v>329</v>
      </c>
      <c r="B88" s="3" t="s">
        <v>322</v>
      </c>
      <c r="C88" s="3" t="s">
        <v>323</v>
      </c>
      <c r="D88" s="3" t="s">
        <v>330</v>
      </c>
      <c r="E88" s="3" t="s">
        <v>24</v>
      </c>
      <c r="F88" s="3" t="s">
        <v>17</v>
      </c>
      <c r="G88" s="3" t="s">
        <v>18</v>
      </c>
      <c r="H88" s="3" t="s">
        <v>25</v>
      </c>
      <c r="I88" s="3" t="s">
        <v>331</v>
      </c>
      <c r="J88" s="3" t="s">
        <v>332</v>
      </c>
      <c r="K88" s="3" t="s">
        <v>21</v>
      </c>
      <c r="L88" s="3"/>
    </row>
    <row r="89" customFormat="false" ht="15" hidden="false" customHeight="true" outlineLevel="0" collapsed="false">
      <c r="A89" s="3" t="s">
        <v>333</v>
      </c>
      <c r="B89" s="3" t="s">
        <v>322</v>
      </c>
      <c r="C89" s="3" t="s">
        <v>323</v>
      </c>
      <c r="D89" s="3" t="s">
        <v>334</v>
      </c>
      <c r="E89" s="3" t="s">
        <v>45</v>
      </c>
      <c r="F89" s="3" t="s">
        <v>17</v>
      </c>
      <c r="G89" s="3" t="s">
        <v>18</v>
      </c>
      <c r="H89" s="3" t="s">
        <v>25</v>
      </c>
      <c r="I89" s="3" t="s">
        <v>335</v>
      </c>
      <c r="J89" s="3" t="s">
        <v>336</v>
      </c>
      <c r="K89" s="3" t="s">
        <v>21</v>
      </c>
      <c r="L89" s="3"/>
    </row>
    <row r="90" customFormat="false" ht="15" hidden="false" customHeight="true" outlineLevel="0" collapsed="false">
      <c r="A90" s="3" t="s">
        <v>337</v>
      </c>
      <c r="B90" s="3" t="s">
        <v>322</v>
      </c>
      <c r="C90" s="3" t="s">
        <v>323</v>
      </c>
      <c r="D90" s="3" t="s">
        <v>338</v>
      </c>
      <c r="E90" s="3" t="s">
        <v>16</v>
      </c>
      <c r="F90" s="3" t="s">
        <v>17</v>
      </c>
      <c r="G90" s="3" t="s">
        <v>18</v>
      </c>
      <c r="H90" s="3" t="s">
        <v>25</v>
      </c>
      <c r="I90" s="3" t="s">
        <v>33</v>
      </c>
      <c r="J90" s="3" t="s">
        <v>339</v>
      </c>
      <c r="K90" s="3" t="s">
        <v>21</v>
      </c>
      <c r="L90" s="3"/>
    </row>
    <row r="91" customFormat="false" ht="15" hidden="false" customHeight="true" outlineLevel="0" collapsed="false">
      <c r="A91" s="3" t="s">
        <v>340</v>
      </c>
      <c r="B91" s="3" t="s">
        <v>322</v>
      </c>
      <c r="C91" s="3" t="s">
        <v>323</v>
      </c>
      <c r="D91" s="3" t="s">
        <v>341</v>
      </c>
      <c r="E91" s="3" t="s">
        <v>16</v>
      </c>
      <c r="F91" s="3" t="s">
        <v>17</v>
      </c>
      <c r="G91" s="3" t="s">
        <v>18</v>
      </c>
      <c r="H91" s="3" t="s">
        <v>25</v>
      </c>
      <c r="I91" s="3" t="s">
        <v>197</v>
      </c>
      <c r="J91" s="3" t="s">
        <v>342</v>
      </c>
      <c r="K91" s="3" t="s">
        <v>21</v>
      </c>
      <c r="L91" s="3"/>
    </row>
    <row r="92" customFormat="false" ht="15" hidden="false" customHeight="true" outlineLevel="0" collapsed="false">
      <c r="A92" s="3" t="s">
        <v>343</v>
      </c>
      <c r="B92" s="3" t="s">
        <v>322</v>
      </c>
      <c r="C92" s="3" t="s">
        <v>323</v>
      </c>
      <c r="D92" s="3" t="s">
        <v>344</v>
      </c>
      <c r="E92" s="3" t="s">
        <v>45</v>
      </c>
      <c r="F92" s="3" t="s">
        <v>17</v>
      </c>
      <c r="G92" s="3" t="s">
        <v>50</v>
      </c>
      <c r="H92" s="3" t="s">
        <v>41</v>
      </c>
      <c r="I92" s="3" t="s">
        <v>206</v>
      </c>
      <c r="J92" s="3" t="s">
        <v>345</v>
      </c>
      <c r="K92" s="3" t="s">
        <v>21</v>
      </c>
      <c r="L92" s="3"/>
    </row>
    <row r="93" customFormat="false" ht="15" hidden="false" customHeight="true" outlineLevel="0" collapsed="false">
      <c r="A93" s="3" t="s">
        <v>346</v>
      </c>
      <c r="B93" s="3" t="s">
        <v>322</v>
      </c>
      <c r="C93" s="3" t="s">
        <v>323</v>
      </c>
      <c r="D93" s="3" t="s">
        <v>347</v>
      </c>
      <c r="E93" s="3" t="s">
        <v>16</v>
      </c>
      <c r="F93" s="3" t="s">
        <v>49</v>
      </c>
      <c r="G93" s="3" t="s">
        <v>50</v>
      </c>
      <c r="H93" s="3" t="s">
        <v>25</v>
      </c>
      <c r="I93" s="3" t="s">
        <v>326</v>
      </c>
      <c r="J93" s="3" t="s">
        <v>348</v>
      </c>
      <c r="K93" s="3" t="s">
        <v>21</v>
      </c>
      <c r="L93" s="3"/>
    </row>
    <row r="94" customFormat="false" ht="15" hidden="false" customHeight="true" outlineLevel="0" collapsed="false">
      <c r="A94" s="3" t="s">
        <v>303</v>
      </c>
      <c r="B94" s="3" t="s">
        <v>322</v>
      </c>
      <c r="C94" s="3" t="s">
        <v>323</v>
      </c>
      <c r="D94" s="3" t="s">
        <v>349</v>
      </c>
      <c r="E94" s="3" t="s">
        <v>45</v>
      </c>
      <c r="F94" s="3" t="s">
        <v>182</v>
      </c>
      <c r="G94" s="3" t="s">
        <v>50</v>
      </c>
      <c r="H94" s="3" t="s">
        <v>19</v>
      </c>
      <c r="I94" s="3" t="s">
        <v>350</v>
      </c>
      <c r="J94" s="3" t="s">
        <v>351</v>
      </c>
      <c r="K94" s="3" t="s">
        <v>21</v>
      </c>
      <c r="L94" s="3"/>
    </row>
    <row r="95" customFormat="false" ht="15" hidden="false" customHeight="true" outlineLevel="0" collapsed="false">
      <c r="A95" s="3" t="s">
        <v>352</v>
      </c>
      <c r="B95" s="3" t="s">
        <v>322</v>
      </c>
      <c r="C95" s="3" t="s">
        <v>323</v>
      </c>
      <c r="D95" s="3" t="s">
        <v>353</v>
      </c>
      <c r="E95" s="3" t="s">
        <v>45</v>
      </c>
      <c r="F95" s="3" t="s">
        <v>17</v>
      </c>
      <c r="G95" s="3" t="s">
        <v>18</v>
      </c>
      <c r="H95" s="3" t="s">
        <v>41</v>
      </c>
      <c r="I95" s="3" t="s">
        <v>326</v>
      </c>
      <c r="J95" s="3" t="s">
        <v>354</v>
      </c>
      <c r="K95" s="3" t="s">
        <v>21</v>
      </c>
      <c r="L95" s="3"/>
    </row>
    <row r="96" customFormat="false" ht="23.25" hidden="false" customHeight="true" outlineLevel="0" collapsed="false">
      <c r="A96" s="3" t="s">
        <v>355</v>
      </c>
      <c r="B96" s="3" t="s">
        <v>356</v>
      </c>
      <c r="C96" s="3" t="s">
        <v>357</v>
      </c>
      <c r="D96" s="3" t="s">
        <v>358</v>
      </c>
      <c r="E96" s="3" t="s">
        <v>56</v>
      </c>
      <c r="F96" s="3" t="s">
        <v>17</v>
      </c>
      <c r="G96" s="3" t="s">
        <v>18</v>
      </c>
      <c r="H96" s="3" t="s">
        <v>19</v>
      </c>
      <c r="I96" s="3" t="s">
        <v>22</v>
      </c>
      <c r="J96" s="3" t="s">
        <v>359</v>
      </c>
      <c r="K96" s="3" t="s">
        <v>21</v>
      </c>
      <c r="L96" s="3"/>
    </row>
    <row r="97" customFormat="false" ht="15" hidden="false" customHeight="true" outlineLevel="0" collapsed="false">
      <c r="A97" s="3" t="s">
        <v>360</v>
      </c>
      <c r="B97" s="3" t="s">
        <v>356</v>
      </c>
      <c r="C97" s="3" t="s">
        <v>357</v>
      </c>
      <c r="D97" s="3" t="s">
        <v>361</v>
      </c>
      <c r="E97" s="3" t="s">
        <v>24</v>
      </c>
      <c r="F97" s="3" t="s">
        <v>17</v>
      </c>
      <c r="G97" s="3" t="s">
        <v>18</v>
      </c>
      <c r="H97" s="3" t="s">
        <v>25</v>
      </c>
      <c r="I97" s="3" t="s">
        <v>321</v>
      </c>
      <c r="J97" s="3" t="s">
        <v>362</v>
      </c>
      <c r="K97" s="3" t="s">
        <v>21</v>
      </c>
      <c r="L97" s="3"/>
    </row>
    <row r="98" customFormat="false" ht="23.25" hidden="false" customHeight="true" outlineLevel="0" collapsed="false">
      <c r="A98" s="3" t="s">
        <v>197</v>
      </c>
      <c r="B98" s="3" t="s">
        <v>356</v>
      </c>
      <c r="C98" s="3" t="s">
        <v>357</v>
      </c>
      <c r="D98" s="3" t="s">
        <v>363</v>
      </c>
      <c r="E98" s="3" t="s">
        <v>56</v>
      </c>
      <c r="F98" s="3" t="s">
        <v>17</v>
      </c>
      <c r="G98" s="3" t="s">
        <v>50</v>
      </c>
      <c r="H98" s="3" t="s">
        <v>25</v>
      </c>
      <c r="I98" s="3" t="s">
        <v>355</v>
      </c>
      <c r="J98" s="3" t="s">
        <v>364</v>
      </c>
      <c r="K98" s="3" t="s">
        <v>21</v>
      </c>
      <c r="L98" s="3"/>
    </row>
    <row r="99" customFormat="false" ht="15" hidden="false" customHeight="true" outlineLevel="0" collapsed="false">
      <c r="A99" s="3" t="s">
        <v>365</v>
      </c>
      <c r="B99" s="3" t="s">
        <v>356</v>
      </c>
      <c r="C99" s="3" t="s">
        <v>357</v>
      </c>
      <c r="D99" s="3" t="s">
        <v>366</v>
      </c>
      <c r="E99" s="3" t="s">
        <v>45</v>
      </c>
      <c r="F99" s="3" t="s">
        <v>17</v>
      </c>
      <c r="G99" s="3" t="s">
        <v>18</v>
      </c>
      <c r="H99" s="3" t="s">
        <v>25</v>
      </c>
      <c r="I99" s="3" t="s">
        <v>39</v>
      </c>
      <c r="J99" s="3" t="s">
        <v>367</v>
      </c>
      <c r="K99" s="3" t="s">
        <v>21</v>
      </c>
      <c r="L99" s="3"/>
    </row>
    <row r="100" customFormat="false" ht="15" hidden="false" customHeight="true" outlineLevel="0" collapsed="false">
      <c r="A100" s="3" t="s">
        <v>368</v>
      </c>
      <c r="B100" s="3" t="s">
        <v>356</v>
      </c>
      <c r="C100" s="3" t="s">
        <v>357</v>
      </c>
      <c r="D100" s="3" t="s">
        <v>369</v>
      </c>
      <c r="E100" s="3" t="s">
        <v>164</v>
      </c>
      <c r="F100" s="3" t="s">
        <v>49</v>
      </c>
      <c r="G100" s="3" t="s">
        <v>18</v>
      </c>
      <c r="H100" s="3" t="s">
        <v>25</v>
      </c>
      <c r="I100" s="3" t="s">
        <v>321</v>
      </c>
      <c r="J100" s="3" t="s">
        <v>370</v>
      </c>
      <c r="K100" s="3" t="s">
        <v>21</v>
      </c>
      <c r="L100" s="3"/>
    </row>
    <row r="101" customFormat="false" ht="15" hidden="false" customHeight="true" outlineLevel="0" collapsed="false">
      <c r="A101" s="3" t="s">
        <v>371</v>
      </c>
      <c r="B101" s="3" t="s">
        <v>356</v>
      </c>
      <c r="C101" s="3" t="s">
        <v>357</v>
      </c>
      <c r="D101" s="3" t="s">
        <v>372</v>
      </c>
      <c r="E101" s="3" t="s">
        <v>56</v>
      </c>
      <c r="F101" s="3" t="s">
        <v>17</v>
      </c>
      <c r="G101" s="3" t="s">
        <v>18</v>
      </c>
      <c r="H101" s="3" t="s">
        <v>25</v>
      </c>
      <c r="I101" s="3" t="s">
        <v>333</v>
      </c>
      <c r="J101" s="3" t="s">
        <v>373</v>
      </c>
      <c r="K101" s="3" t="s">
        <v>21</v>
      </c>
      <c r="L101" s="3"/>
    </row>
    <row r="102" customFormat="false" ht="15" hidden="false" customHeight="true" outlineLevel="0" collapsed="false">
      <c r="A102" s="3" t="s">
        <v>374</v>
      </c>
      <c r="B102" s="3" t="s">
        <v>356</v>
      </c>
      <c r="C102" s="3" t="s">
        <v>357</v>
      </c>
      <c r="D102" s="3" t="s">
        <v>375</v>
      </c>
      <c r="E102" s="3" t="s">
        <v>56</v>
      </c>
      <c r="F102" s="3" t="s">
        <v>182</v>
      </c>
      <c r="G102" s="3" t="s">
        <v>129</v>
      </c>
      <c r="H102" s="3" t="s">
        <v>41</v>
      </c>
      <c r="I102" s="3" t="s">
        <v>197</v>
      </c>
      <c r="J102" s="3" t="s">
        <v>376</v>
      </c>
      <c r="K102" s="3" t="s">
        <v>21</v>
      </c>
      <c r="L102" s="3"/>
    </row>
    <row r="103" customFormat="false" ht="15" hidden="false" customHeight="true" outlineLevel="0" collapsed="false">
      <c r="A103" s="3" t="s">
        <v>377</v>
      </c>
      <c r="B103" s="3" t="s">
        <v>356</v>
      </c>
      <c r="C103" s="3" t="s">
        <v>357</v>
      </c>
      <c r="D103" s="3" t="s">
        <v>378</v>
      </c>
      <c r="E103" s="3" t="s">
        <v>56</v>
      </c>
      <c r="F103" s="3" t="s">
        <v>182</v>
      </c>
      <c r="G103" s="3" t="s">
        <v>50</v>
      </c>
      <c r="H103" s="3" t="s">
        <v>25</v>
      </c>
      <c r="I103" s="3" t="s">
        <v>355</v>
      </c>
      <c r="J103" s="3" t="s">
        <v>379</v>
      </c>
      <c r="K103" s="3" t="s">
        <v>21</v>
      </c>
      <c r="L103" s="3"/>
    </row>
    <row r="104" customFormat="false" ht="15" hidden="false" customHeight="true" outlineLevel="0" collapsed="false">
      <c r="A104" s="3" t="s">
        <v>380</v>
      </c>
      <c r="B104" s="3" t="s">
        <v>356</v>
      </c>
      <c r="C104" s="3" t="s">
        <v>357</v>
      </c>
      <c r="D104" s="3" t="s">
        <v>381</v>
      </c>
      <c r="E104" s="3" t="s">
        <v>56</v>
      </c>
      <c r="F104" s="3" t="s">
        <v>17</v>
      </c>
      <c r="G104" s="3" t="s">
        <v>50</v>
      </c>
      <c r="H104" s="3" t="s">
        <v>41</v>
      </c>
      <c r="I104" s="3" t="s">
        <v>22</v>
      </c>
      <c r="J104" s="3" t="s">
        <v>382</v>
      </c>
      <c r="K104" s="3" t="s">
        <v>21</v>
      </c>
      <c r="L104" s="3"/>
    </row>
    <row r="105" customFormat="false" ht="23.25" hidden="false" customHeight="true" outlineLevel="0" collapsed="false">
      <c r="A105" s="3" t="s">
        <v>383</v>
      </c>
      <c r="B105" s="3" t="s">
        <v>384</v>
      </c>
      <c r="C105" s="3" t="s">
        <v>385</v>
      </c>
      <c r="D105" s="3" t="s">
        <v>386</v>
      </c>
      <c r="E105" s="3" t="s">
        <v>45</v>
      </c>
      <c r="F105" s="3" t="s">
        <v>17</v>
      </c>
      <c r="G105" s="3" t="s">
        <v>18</v>
      </c>
      <c r="H105" s="3" t="s">
        <v>25</v>
      </c>
      <c r="I105" s="3" t="s">
        <v>43</v>
      </c>
      <c r="J105" s="3" t="s">
        <v>387</v>
      </c>
      <c r="K105" s="3" t="s">
        <v>21</v>
      </c>
      <c r="L105" s="3"/>
    </row>
    <row r="106" customFormat="false" ht="23.25" hidden="false" customHeight="true" outlineLevel="0" collapsed="false">
      <c r="A106" s="3" t="s">
        <v>388</v>
      </c>
      <c r="B106" s="3" t="s">
        <v>384</v>
      </c>
      <c r="C106" s="3" t="s">
        <v>385</v>
      </c>
      <c r="D106" s="3" t="s">
        <v>389</v>
      </c>
      <c r="E106" s="3" t="s">
        <v>45</v>
      </c>
      <c r="F106" s="3" t="s">
        <v>17</v>
      </c>
      <c r="G106" s="3" t="s">
        <v>18</v>
      </c>
      <c r="H106" s="3" t="s">
        <v>19</v>
      </c>
      <c r="I106" s="3" t="s">
        <v>390</v>
      </c>
      <c r="J106" s="3" t="s">
        <v>391</v>
      </c>
      <c r="K106" s="3" t="s">
        <v>21</v>
      </c>
      <c r="L106" s="3"/>
    </row>
    <row r="107" customFormat="false" ht="15" hidden="false" customHeight="true" outlineLevel="0" collapsed="false">
      <c r="A107" s="3" t="s">
        <v>392</v>
      </c>
      <c r="B107" s="3" t="s">
        <v>384</v>
      </c>
      <c r="C107" s="3" t="s">
        <v>385</v>
      </c>
      <c r="D107" s="3" t="s">
        <v>393</v>
      </c>
      <c r="E107" s="3" t="s">
        <v>45</v>
      </c>
      <c r="F107" s="3" t="s">
        <v>182</v>
      </c>
      <c r="G107" s="3" t="s">
        <v>50</v>
      </c>
      <c r="H107" s="3" t="s">
        <v>25</v>
      </c>
      <c r="I107" s="3" t="s">
        <v>394</v>
      </c>
      <c r="J107" s="3" t="s">
        <v>395</v>
      </c>
      <c r="K107" s="3" t="s">
        <v>21</v>
      </c>
      <c r="L107" s="3"/>
    </row>
    <row r="108" customFormat="false" ht="15" hidden="false" customHeight="true" outlineLevel="0" collapsed="false">
      <c r="A108" s="3" t="s">
        <v>396</v>
      </c>
      <c r="B108" s="3" t="s">
        <v>384</v>
      </c>
      <c r="C108" s="3" t="s">
        <v>385</v>
      </c>
      <c r="D108" s="3" t="s">
        <v>397</v>
      </c>
      <c r="E108" s="3" t="s">
        <v>56</v>
      </c>
      <c r="F108" s="3" t="s">
        <v>182</v>
      </c>
      <c r="G108" s="3" t="s">
        <v>129</v>
      </c>
      <c r="H108" s="3" t="s">
        <v>41</v>
      </c>
      <c r="I108" s="3" t="s">
        <v>380</v>
      </c>
      <c r="J108" s="3" t="s">
        <v>398</v>
      </c>
      <c r="K108" s="3" t="s">
        <v>21</v>
      </c>
      <c r="L108" s="3"/>
    </row>
    <row r="109" customFormat="false" ht="15" hidden="false" customHeight="true" outlineLevel="0" collapsed="false">
      <c r="A109" s="3" t="s">
        <v>178</v>
      </c>
      <c r="B109" s="3" t="s">
        <v>399</v>
      </c>
      <c r="C109" s="3" t="s">
        <v>400</v>
      </c>
      <c r="D109" s="3" t="s">
        <v>401</v>
      </c>
      <c r="E109" s="3" t="s">
        <v>45</v>
      </c>
      <c r="F109" s="3" t="s">
        <v>17</v>
      </c>
      <c r="G109" s="3" t="s">
        <v>18</v>
      </c>
      <c r="H109" s="3" t="s">
        <v>25</v>
      </c>
      <c r="I109" s="3" t="s">
        <v>86</v>
      </c>
      <c r="J109" s="3" t="s">
        <v>402</v>
      </c>
      <c r="K109" s="3" t="s">
        <v>21</v>
      </c>
      <c r="L109" s="3"/>
    </row>
    <row r="110" customFormat="false" ht="23.25" hidden="false" customHeight="true" outlineLevel="0" collapsed="false">
      <c r="A110" s="3" t="s">
        <v>403</v>
      </c>
      <c r="B110" s="3" t="s">
        <v>399</v>
      </c>
      <c r="C110" s="3" t="s">
        <v>400</v>
      </c>
      <c r="D110" s="3" t="s">
        <v>404</v>
      </c>
      <c r="E110" s="3" t="s">
        <v>45</v>
      </c>
      <c r="F110" s="3" t="s">
        <v>49</v>
      </c>
      <c r="G110" s="3" t="s">
        <v>50</v>
      </c>
      <c r="H110" s="3" t="s">
        <v>25</v>
      </c>
      <c r="I110" s="3" t="s">
        <v>68</v>
      </c>
      <c r="J110" s="3" t="s">
        <v>405</v>
      </c>
      <c r="K110" s="3" t="s">
        <v>21</v>
      </c>
      <c r="L110" s="3"/>
    </row>
    <row r="111" customFormat="false" ht="23.25" hidden="false" customHeight="true" outlineLevel="0" collapsed="false">
      <c r="A111" s="3" t="s">
        <v>406</v>
      </c>
      <c r="B111" s="3" t="s">
        <v>399</v>
      </c>
      <c r="C111" s="3" t="s">
        <v>400</v>
      </c>
      <c r="D111" s="3" t="s">
        <v>407</v>
      </c>
      <c r="E111" s="3" t="s">
        <v>45</v>
      </c>
      <c r="F111" s="3" t="s">
        <v>182</v>
      </c>
      <c r="G111" s="3" t="s">
        <v>129</v>
      </c>
      <c r="H111" s="3" t="s">
        <v>41</v>
      </c>
      <c r="I111" s="3" t="s">
        <v>30</v>
      </c>
      <c r="J111" s="3" t="s">
        <v>408</v>
      </c>
      <c r="K111" s="3" t="s">
        <v>21</v>
      </c>
      <c r="L111" s="3"/>
    </row>
    <row r="112" customFormat="false" ht="15" hidden="false" customHeight="true" outlineLevel="0" collapsed="false">
      <c r="A112" s="3" t="s">
        <v>331</v>
      </c>
      <c r="B112" s="3" t="s">
        <v>409</v>
      </c>
      <c r="C112" s="3" t="s">
        <v>410</v>
      </c>
      <c r="D112" s="3" t="s">
        <v>411</v>
      </c>
      <c r="E112" s="3" t="s">
        <v>16</v>
      </c>
      <c r="F112" s="3" t="s">
        <v>17</v>
      </c>
      <c r="G112" s="3" t="s">
        <v>18</v>
      </c>
      <c r="H112" s="3" t="s">
        <v>25</v>
      </c>
      <c r="I112" s="3"/>
      <c r="J112" s="3" t="s">
        <v>412</v>
      </c>
      <c r="K112" s="3" t="s">
        <v>21</v>
      </c>
      <c r="L112" s="3"/>
    </row>
    <row r="113" customFormat="false" ht="23.25" hidden="false" customHeight="true" outlineLevel="0" collapsed="false">
      <c r="A113" s="3" t="s">
        <v>413</v>
      </c>
      <c r="B113" s="3" t="s">
        <v>409</v>
      </c>
      <c r="C113" s="3" t="s">
        <v>410</v>
      </c>
      <c r="D113" s="3" t="s">
        <v>414</v>
      </c>
      <c r="E113" s="3" t="s">
        <v>45</v>
      </c>
      <c r="F113" s="3" t="s">
        <v>17</v>
      </c>
      <c r="G113" s="3" t="s">
        <v>18</v>
      </c>
      <c r="H113" s="3" t="s">
        <v>25</v>
      </c>
      <c r="I113" s="3" t="s">
        <v>331</v>
      </c>
      <c r="J113" s="3" t="s">
        <v>415</v>
      </c>
      <c r="K113" s="3" t="s">
        <v>21</v>
      </c>
      <c r="L113" s="3"/>
    </row>
    <row r="114" customFormat="false" ht="15" hidden="false" customHeight="true" outlineLevel="0" collapsed="false">
      <c r="A114" s="3" t="s">
        <v>416</v>
      </c>
      <c r="B114" s="3" t="s">
        <v>409</v>
      </c>
      <c r="C114" s="3" t="s">
        <v>410</v>
      </c>
      <c r="D114" s="3" t="s">
        <v>417</v>
      </c>
      <c r="E114" s="3" t="s">
        <v>56</v>
      </c>
      <c r="F114" s="3" t="s">
        <v>17</v>
      </c>
      <c r="G114" s="3" t="s">
        <v>18</v>
      </c>
      <c r="H114" s="3" t="s">
        <v>25</v>
      </c>
      <c r="I114" s="3" t="s">
        <v>331</v>
      </c>
      <c r="J114" s="3" t="s">
        <v>418</v>
      </c>
      <c r="K114" s="3" t="s">
        <v>21</v>
      </c>
      <c r="L114" s="3"/>
    </row>
    <row r="115" customFormat="false" ht="15" hidden="false" customHeight="true" outlineLevel="0" collapsed="false">
      <c r="A115" s="3" t="s">
        <v>419</v>
      </c>
      <c r="B115" s="3" t="s">
        <v>409</v>
      </c>
      <c r="C115" s="3" t="s">
        <v>410</v>
      </c>
      <c r="D115" s="3" t="s">
        <v>420</v>
      </c>
      <c r="E115" s="3" t="s">
        <v>24</v>
      </c>
      <c r="F115" s="3" t="s">
        <v>17</v>
      </c>
      <c r="G115" s="3" t="s">
        <v>18</v>
      </c>
      <c r="H115" s="3" t="s">
        <v>41</v>
      </c>
      <c r="I115" s="3" t="s">
        <v>413</v>
      </c>
      <c r="J115" s="3" t="s">
        <v>421</v>
      </c>
      <c r="K115" s="3" t="s">
        <v>21</v>
      </c>
      <c r="L115" s="3"/>
    </row>
    <row r="116" customFormat="false" ht="23.25" hidden="false" customHeight="true" outlineLevel="0" collapsed="false">
      <c r="A116" s="3" t="s">
        <v>335</v>
      </c>
      <c r="B116" s="3" t="s">
        <v>409</v>
      </c>
      <c r="C116" s="3" t="s">
        <v>410</v>
      </c>
      <c r="D116" s="3" t="s">
        <v>422</v>
      </c>
      <c r="E116" s="3" t="s">
        <v>24</v>
      </c>
      <c r="F116" s="3" t="s">
        <v>17</v>
      </c>
      <c r="G116" s="3" t="s">
        <v>18</v>
      </c>
      <c r="H116" s="3" t="s">
        <v>25</v>
      </c>
      <c r="I116" s="3"/>
      <c r="J116" s="3" t="s">
        <v>423</v>
      </c>
      <c r="K116" s="3" t="s">
        <v>21</v>
      </c>
      <c r="L116" s="3"/>
    </row>
    <row r="117" customFormat="false" ht="15" hidden="false" customHeight="true" outlineLevel="0" collapsed="false">
      <c r="A117" s="3" t="s">
        <v>125</v>
      </c>
      <c r="B117" s="3" t="s">
        <v>409</v>
      </c>
      <c r="C117" s="3" t="s">
        <v>410</v>
      </c>
      <c r="D117" s="3" t="s">
        <v>424</v>
      </c>
      <c r="E117" s="3" t="s">
        <v>24</v>
      </c>
      <c r="F117" s="3" t="s">
        <v>49</v>
      </c>
      <c r="G117" s="3" t="s">
        <v>50</v>
      </c>
      <c r="H117" s="3" t="s">
        <v>25</v>
      </c>
      <c r="I117" s="3" t="s">
        <v>331</v>
      </c>
      <c r="J117" s="3" t="s">
        <v>425</v>
      </c>
      <c r="K117" s="3" t="s">
        <v>21</v>
      </c>
      <c r="L117" s="3"/>
    </row>
    <row r="118" customFormat="false" ht="15" hidden="false" customHeight="true" outlineLevel="0" collapsed="false">
      <c r="A118" s="3" t="s">
        <v>350</v>
      </c>
      <c r="B118" s="3" t="s">
        <v>409</v>
      </c>
      <c r="C118" s="3" t="s">
        <v>410</v>
      </c>
      <c r="D118" s="3" t="s">
        <v>426</v>
      </c>
      <c r="E118" s="3" t="s">
        <v>45</v>
      </c>
      <c r="F118" s="3" t="s">
        <v>17</v>
      </c>
      <c r="G118" s="3" t="s">
        <v>50</v>
      </c>
      <c r="H118" s="3" t="s">
        <v>41</v>
      </c>
      <c r="I118" s="3" t="s">
        <v>331</v>
      </c>
      <c r="J118" s="3" t="s">
        <v>427</v>
      </c>
      <c r="K118" s="3" t="s">
        <v>21</v>
      </c>
      <c r="L118" s="3"/>
    </row>
    <row r="119" customFormat="false" ht="23.25" hidden="false" customHeight="true" outlineLevel="0" collapsed="false">
      <c r="A119" s="3" t="s">
        <v>428</v>
      </c>
      <c r="B119" s="3" t="s">
        <v>429</v>
      </c>
      <c r="C119" s="3" t="s">
        <v>430</v>
      </c>
      <c r="D119" s="3" t="s">
        <v>431</v>
      </c>
      <c r="E119" s="3" t="s">
        <v>24</v>
      </c>
      <c r="F119" s="3" t="s">
        <v>17</v>
      </c>
      <c r="G119" s="3" t="s">
        <v>18</v>
      </c>
      <c r="H119" s="3" t="s">
        <v>41</v>
      </c>
      <c r="I119" s="3" t="s">
        <v>331</v>
      </c>
      <c r="J119" s="3" t="s">
        <v>432</v>
      </c>
      <c r="K119" s="3" t="s">
        <v>21</v>
      </c>
      <c r="L119" s="3"/>
    </row>
    <row r="120" customFormat="false" ht="15" hidden="false" customHeight="true" outlineLevel="0" collapsed="false">
      <c r="A120" s="3" t="s">
        <v>433</v>
      </c>
      <c r="B120" s="3" t="s">
        <v>429</v>
      </c>
      <c r="C120" s="3" t="s">
        <v>430</v>
      </c>
      <c r="D120" s="3" t="s">
        <v>434</v>
      </c>
      <c r="E120" s="3" t="s">
        <v>24</v>
      </c>
      <c r="F120" s="3" t="s">
        <v>17</v>
      </c>
      <c r="G120" s="3" t="s">
        <v>18</v>
      </c>
      <c r="H120" s="3" t="s">
        <v>41</v>
      </c>
      <c r="I120" s="3" t="s">
        <v>83</v>
      </c>
      <c r="J120" s="3" t="s">
        <v>435</v>
      </c>
      <c r="K120" s="3" t="s">
        <v>21</v>
      </c>
      <c r="L120" s="3"/>
    </row>
    <row r="121" customFormat="false" ht="23.25" hidden="false" customHeight="true" outlineLevel="0" collapsed="false">
      <c r="A121" s="3" t="s">
        <v>436</v>
      </c>
      <c r="B121" s="3" t="s">
        <v>429</v>
      </c>
      <c r="C121" s="3" t="s">
        <v>430</v>
      </c>
      <c r="D121" s="3" t="s">
        <v>437</v>
      </c>
      <c r="E121" s="3" t="s">
        <v>16</v>
      </c>
      <c r="F121" s="3" t="s">
        <v>17</v>
      </c>
      <c r="G121" s="3" t="s">
        <v>18</v>
      </c>
      <c r="H121" s="3" t="s">
        <v>25</v>
      </c>
      <c r="I121" s="3" t="s">
        <v>291</v>
      </c>
      <c r="J121" s="3" t="s">
        <v>438</v>
      </c>
      <c r="K121" s="3" t="s">
        <v>21</v>
      </c>
      <c r="L121" s="3"/>
    </row>
    <row r="122" customFormat="false" ht="23.25" hidden="false" customHeight="true" outlineLevel="0" collapsed="false">
      <c r="A122" s="3" t="s">
        <v>439</v>
      </c>
      <c r="B122" s="3" t="s">
        <v>429</v>
      </c>
      <c r="C122" s="3" t="s">
        <v>430</v>
      </c>
      <c r="D122" s="3" t="s">
        <v>440</v>
      </c>
      <c r="E122" s="3" t="s">
        <v>16</v>
      </c>
      <c r="F122" s="3" t="s">
        <v>17</v>
      </c>
      <c r="G122" s="3" t="s">
        <v>18</v>
      </c>
      <c r="H122" s="3" t="s">
        <v>41</v>
      </c>
      <c r="I122" s="3" t="s">
        <v>131</v>
      </c>
      <c r="J122" s="3" t="s">
        <v>441</v>
      </c>
      <c r="K122" s="3" t="s">
        <v>21</v>
      </c>
      <c r="L122" s="3"/>
    </row>
    <row r="123" customFormat="false" ht="15" hidden="false" customHeight="true" outlineLevel="0" collapsed="false">
      <c r="A123" s="3" t="s">
        <v>442</v>
      </c>
      <c r="B123" s="3" t="s">
        <v>429</v>
      </c>
      <c r="C123" s="3" t="s">
        <v>430</v>
      </c>
      <c r="D123" s="3" t="s">
        <v>443</v>
      </c>
      <c r="E123" s="3" t="s">
        <v>16</v>
      </c>
      <c r="F123" s="3" t="s">
        <v>17</v>
      </c>
      <c r="G123" s="3" t="s">
        <v>18</v>
      </c>
      <c r="H123" s="3" t="s">
        <v>25</v>
      </c>
      <c r="I123" s="3" t="s">
        <v>12</v>
      </c>
      <c r="J123" s="3" t="s">
        <v>444</v>
      </c>
      <c r="K123" s="3" t="s">
        <v>21</v>
      </c>
      <c r="L123" s="3"/>
    </row>
    <row r="124" customFormat="false" ht="35.05" hidden="false" customHeight="false" outlineLevel="0" collapsed="false">
      <c r="A124" s="3" t="s">
        <v>445</v>
      </c>
      <c r="B124" s="3" t="s">
        <v>446</v>
      </c>
      <c r="C124" s="3" t="s">
        <v>447</v>
      </c>
      <c r="D124" s="3" t="s">
        <v>448</v>
      </c>
      <c r="E124" s="3" t="s">
        <v>449</v>
      </c>
      <c r="F124" s="3" t="s">
        <v>17</v>
      </c>
      <c r="G124" s="3" t="s">
        <v>18</v>
      </c>
      <c r="H124" s="3" t="s">
        <v>25</v>
      </c>
      <c r="I124" s="3" t="s">
        <v>30</v>
      </c>
      <c r="J124" s="3" t="s">
        <v>450</v>
      </c>
      <c r="K124" s="3" t="s">
        <v>21</v>
      </c>
      <c r="L124" s="3"/>
    </row>
    <row r="125" customFormat="false" ht="35.05" hidden="false" customHeight="false" outlineLevel="0" collapsed="false">
      <c r="A125" s="3" t="s">
        <v>451</v>
      </c>
      <c r="B125" s="3" t="s">
        <v>446</v>
      </c>
      <c r="C125" s="3" t="s">
        <v>447</v>
      </c>
      <c r="D125" s="3" t="s">
        <v>452</v>
      </c>
      <c r="E125" s="3" t="s">
        <v>16</v>
      </c>
      <c r="F125" s="3" t="s">
        <v>17</v>
      </c>
      <c r="G125" s="3" t="s">
        <v>18</v>
      </c>
      <c r="H125" s="3" t="s">
        <v>19</v>
      </c>
      <c r="I125" s="3" t="s">
        <v>453</v>
      </c>
      <c r="J125" s="3" t="s">
        <v>454</v>
      </c>
      <c r="K125" s="3" t="s">
        <v>21</v>
      </c>
      <c r="L125" s="3"/>
    </row>
    <row r="126" customFormat="false" ht="35.05" hidden="false" customHeight="false" outlineLevel="0" collapsed="false">
      <c r="A126" s="3" t="s">
        <v>455</v>
      </c>
      <c r="B126" s="3" t="s">
        <v>446</v>
      </c>
      <c r="C126" s="3" t="s">
        <v>447</v>
      </c>
      <c r="D126" s="3" t="s">
        <v>456</v>
      </c>
      <c r="E126" s="3" t="s">
        <v>16</v>
      </c>
      <c r="F126" s="3" t="s">
        <v>17</v>
      </c>
      <c r="G126" s="3" t="s">
        <v>18</v>
      </c>
      <c r="H126" s="3" t="s">
        <v>19</v>
      </c>
      <c r="I126" s="3" t="s">
        <v>457</v>
      </c>
      <c r="J126" s="3" t="s">
        <v>458</v>
      </c>
      <c r="K126" s="3" t="s">
        <v>21</v>
      </c>
      <c r="L126" s="3"/>
    </row>
    <row r="127" customFormat="false" ht="15" hidden="false" customHeight="false" outlineLevel="0" collapsed="false">
      <c r="A127" s="3" t="s">
        <v>459</v>
      </c>
      <c r="B127" s="3" t="s">
        <v>446</v>
      </c>
      <c r="C127" s="3" t="s">
        <v>447</v>
      </c>
      <c r="D127" s="3" t="s">
        <v>460</v>
      </c>
      <c r="E127" s="3" t="s">
        <v>449</v>
      </c>
      <c r="F127" s="3" t="s">
        <v>17</v>
      </c>
      <c r="G127" s="3" t="s">
        <v>50</v>
      </c>
      <c r="H127" s="3" t="s">
        <v>41</v>
      </c>
      <c r="I127" s="3" t="s">
        <v>137</v>
      </c>
      <c r="J127" s="3" t="s">
        <v>461</v>
      </c>
      <c r="K127" s="3" t="s">
        <v>21</v>
      </c>
      <c r="L127" s="3"/>
    </row>
    <row r="128" customFormat="false" ht="23.85" hidden="false" customHeight="false" outlineLevel="0" collapsed="false">
      <c r="A128" s="3" t="s">
        <v>462</v>
      </c>
      <c r="B128" s="3" t="s">
        <v>446</v>
      </c>
      <c r="C128" s="3" t="s">
        <v>447</v>
      </c>
      <c r="D128" s="3" t="s">
        <v>463</v>
      </c>
      <c r="E128" s="3" t="s">
        <v>16</v>
      </c>
      <c r="F128" s="3" t="s">
        <v>17</v>
      </c>
      <c r="G128" s="3" t="s">
        <v>50</v>
      </c>
      <c r="H128" s="3" t="s">
        <v>41</v>
      </c>
      <c r="I128" s="3" t="s">
        <v>455</v>
      </c>
      <c r="J128" s="3" t="s">
        <v>464</v>
      </c>
      <c r="K128" s="3" t="s">
        <v>21</v>
      </c>
      <c r="L128" s="3"/>
    </row>
    <row r="129" customFormat="false" ht="23.85" hidden="false" customHeight="false" outlineLevel="0" collapsed="false">
      <c r="A129" s="3" t="s">
        <v>465</v>
      </c>
      <c r="B129" s="3" t="s">
        <v>466</v>
      </c>
      <c r="C129" s="3" t="s">
        <v>467</v>
      </c>
      <c r="D129" s="3" t="s">
        <v>468</v>
      </c>
      <c r="E129" s="3" t="s">
        <v>449</v>
      </c>
      <c r="F129" s="3" t="s">
        <v>17</v>
      </c>
      <c r="G129" s="3" t="s">
        <v>18</v>
      </c>
      <c r="H129" s="3" t="s">
        <v>25</v>
      </c>
      <c r="I129" s="3" t="s">
        <v>22</v>
      </c>
      <c r="J129" s="3" t="s">
        <v>469</v>
      </c>
      <c r="K129" s="3" t="s">
        <v>21</v>
      </c>
      <c r="L129" s="3"/>
    </row>
    <row r="130" customFormat="false" ht="23.85" hidden="false" customHeight="false" outlineLevel="0" collapsed="false">
      <c r="A130" s="3" t="s">
        <v>470</v>
      </c>
      <c r="B130" s="3" t="s">
        <v>466</v>
      </c>
      <c r="C130" s="3" t="s">
        <v>467</v>
      </c>
      <c r="D130" s="3" t="s">
        <v>471</v>
      </c>
      <c r="E130" s="3" t="s">
        <v>472</v>
      </c>
      <c r="F130" s="3" t="s">
        <v>17</v>
      </c>
      <c r="G130" s="3" t="s">
        <v>18</v>
      </c>
      <c r="H130" s="3" t="s">
        <v>41</v>
      </c>
      <c r="I130" s="3" t="s">
        <v>113</v>
      </c>
      <c r="J130" s="3" t="s">
        <v>473</v>
      </c>
      <c r="K130" s="3" t="s">
        <v>21</v>
      </c>
      <c r="L130" s="3"/>
    </row>
    <row r="131" customFormat="false" ht="23.85" hidden="false" customHeight="false" outlineLevel="0" collapsed="false">
      <c r="A131" s="3" t="s">
        <v>474</v>
      </c>
      <c r="B131" s="3" t="s">
        <v>466</v>
      </c>
      <c r="C131" s="3" t="s">
        <v>467</v>
      </c>
      <c r="D131" s="3" t="s">
        <v>475</v>
      </c>
      <c r="E131" s="3" t="s">
        <v>472</v>
      </c>
      <c r="F131" s="3" t="s">
        <v>49</v>
      </c>
      <c r="G131" s="3" t="s">
        <v>18</v>
      </c>
      <c r="H131" s="3" t="s">
        <v>19</v>
      </c>
      <c r="I131" s="3" t="s">
        <v>476</v>
      </c>
      <c r="J131" s="3" t="s">
        <v>477</v>
      </c>
      <c r="K131" s="3" t="s">
        <v>21</v>
      </c>
      <c r="L131" s="3"/>
    </row>
    <row r="132" customFormat="false" ht="23.85" hidden="false" customHeight="false" outlineLevel="0" collapsed="false">
      <c r="A132" s="3" t="s">
        <v>478</v>
      </c>
      <c r="B132" s="3" t="s">
        <v>466</v>
      </c>
      <c r="C132" s="3" t="s">
        <v>467</v>
      </c>
      <c r="D132" s="3" t="s">
        <v>479</v>
      </c>
      <c r="E132" s="3" t="s">
        <v>480</v>
      </c>
      <c r="F132" s="3" t="s">
        <v>49</v>
      </c>
      <c r="G132" s="3" t="s">
        <v>18</v>
      </c>
      <c r="H132" s="3" t="s">
        <v>25</v>
      </c>
      <c r="I132" s="3" t="s">
        <v>481</v>
      </c>
      <c r="J132" s="3" t="s">
        <v>482</v>
      </c>
      <c r="K132" s="3" t="s">
        <v>21</v>
      </c>
      <c r="L132" s="3"/>
    </row>
    <row r="133" customFormat="false" ht="15" hidden="false" customHeight="false" outlineLevel="0" collapsed="false">
      <c r="A133" s="3" t="s">
        <v>483</v>
      </c>
      <c r="B133" s="3" t="s">
        <v>466</v>
      </c>
      <c r="C133" s="3" t="s">
        <v>467</v>
      </c>
      <c r="D133" s="3" t="s">
        <v>484</v>
      </c>
      <c r="E133" s="3" t="s">
        <v>449</v>
      </c>
      <c r="F133" s="3" t="s">
        <v>182</v>
      </c>
      <c r="G133" s="3" t="s">
        <v>129</v>
      </c>
      <c r="H133" s="3" t="s">
        <v>41</v>
      </c>
      <c r="I133" s="3" t="s">
        <v>22</v>
      </c>
      <c r="J133" s="3" t="s">
        <v>485</v>
      </c>
      <c r="K133" s="3" t="s">
        <v>21</v>
      </c>
      <c r="L133" s="3"/>
    </row>
    <row r="134" customFormat="false" ht="23.85" hidden="false" customHeight="false" outlineLevel="0" collapsed="false">
      <c r="A134" s="3" t="s">
        <v>486</v>
      </c>
      <c r="B134" s="3" t="s">
        <v>466</v>
      </c>
      <c r="C134" s="3" t="s">
        <v>467</v>
      </c>
      <c r="D134" s="3" t="s">
        <v>487</v>
      </c>
      <c r="E134" s="3" t="s">
        <v>472</v>
      </c>
      <c r="F134" s="3" t="s">
        <v>182</v>
      </c>
      <c r="G134" s="3" t="s">
        <v>129</v>
      </c>
      <c r="H134" s="3" t="s">
        <v>25</v>
      </c>
      <c r="I134" s="3" t="s">
        <v>478</v>
      </c>
      <c r="J134" s="3" t="s">
        <v>488</v>
      </c>
      <c r="K134" s="3" t="s">
        <v>21</v>
      </c>
      <c r="L134" s="3"/>
    </row>
    <row r="135" customFormat="false" ht="23.85" hidden="false" customHeight="false" outlineLevel="0" collapsed="false">
      <c r="A135" s="3" t="s">
        <v>489</v>
      </c>
      <c r="B135" s="3" t="s">
        <v>466</v>
      </c>
      <c r="C135" s="3" t="s">
        <v>467</v>
      </c>
      <c r="D135" s="3" t="s">
        <v>490</v>
      </c>
      <c r="E135" s="3" t="s">
        <v>16</v>
      </c>
      <c r="F135" s="3" t="s">
        <v>49</v>
      </c>
      <c r="G135" s="3" t="s">
        <v>18</v>
      </c>
      <c r="H135" s="3" t="s">
        <v>25</v>
      </c>
      <c r="I135" s="3" t="s">
        <v>442</v>
      </c>
      <c r="J135" s="3" t="s">
        <v>491</v>
      </c>
      <c r="K135" s="3" t="s">
        <v>21</v>
      </c>
      <c r="L135" s="3"/>
    </row>
    <row r="136" customFormat="false" ht="23.85" hidden="false" customHeight="false" outlineLevel="0" collapsed="false">
      <c r="A136" s="3" t="s">
        <v>492</v>
      </c>
      <c r="B136" s="3" t="s">
        <v>493</v>
      </c>
      <c r="C136" s="3" t="s">
        <v>494</v>
      </c>
      <c r="D136" s="3" t="s">
        <v>495</v>
      </c>
      <c r="E136" s="3" t="s">
        <v>16</v>
      </c>
      <c r="F136" s="3" t="s">
        <v>17</v>
      </c>
      <c r="G136" s="3" t="s">
        <v>18</v>
      </c>
      <c r="H136" s="3" t="s">
        <v>25</v>
      </c>
      <c r="I136" s="3"/>
      <c r="J136" s="3" t="s">
        <v>496</v>
      </c>
      <c r="K136" s="3" t="s">
        <v>21</v>
      </c>
      <c r="L136" s="3"/>
    </row>
    <row r="137" customFormat="false" ht="23.85" hidden="false" customHeight="false" outlineLevel="0" collapsed="false">
      <c r="A137" s="3" t="s">
        <v>481</v>
      </c>
      <c r="B137" s="3" t="s">
        <v>493</v>
      </c>
      <c r="C137" s="3" t="s">
        <v>494</v>
      </c>
      <c r="D137" s="3" t="s">
        <v>497</v>
      </c>
      <c r="E137" s="3" t="s">
        <v>480</v>
      </c>
      <c r="F137" s="3" t="s">
        <v>17</v>
      </c>
      <c r="G137" s="3" t="s">
        <v>18</v>
      </c>
      <c r="H137" s="3" t="s">
        <v>19</v>
      </c>
      <c r="I137" s="3" t="s">
        <v>498</v>
      </c>
      <c r="J137" s="3" t="s">
        <v>499</v>
      </c>
      <c r="K137" s="3" t="s">
        <v>21</v>
      </c>
      <c r="L137" s="3"/>
    </row>
    <row r="138" customFormat="false" ht="23.85" hidden="false" customHeight="false" outlineLevel="0" collapsed="false">
      <c r="A138" s="3" t="s">
        <v>500</v>
      </c>
      <c r="B138" s="3" t="s">
        <v>493</v>
      </c>
      <c r="C138" s="3" t="s">
        <v>494</v>
      </c>
      <c r="D138" s="3" t="s">
        <v>501</v>
      </c>
      <c r="E138" s="3" t="s">
        <v>449</v>
      </c>
      <c r="F138" s="3" t="s">
        <v>17</v>
      </c>
      <c r="G138" s="3" t="s">
        <v>18</v>
      </c>
      <c r="H138" s="3" t="s">
        <v>19</v>
      </c>
      <c r="I138" s="3" t="s">
        <v>502</v>
      </c>
      <c r="J138" s="3" t="s">
        <v>503</v>
      </c>
      <c r="K138" s="3" t="s">
        <v>21</v>
      </c>
      <c r="L138" s="3"/>
    </row>
    <row r="139" customFormat="false" ht="23.85" hidden="false" customHeight="false" outlineLevel="0" collapsed="false">
      <c r="A139" s="3" t="s">
        <v>504</v>
      </c>
      <c r="B139" s="3" t="s">
        <v>493</v>
      </c>
      <c r="C139" s="3" t="s">
        <v>494</v>
      </c>
      <c r="D139" s="3" t="s">
        <v>505</v>
      </c>
      <c r="E139" s="3" t="s">
        <v>16</v>
      </c>
      <c r="F139" s="3" t="s">
        <v>49</v>
      </c>
      <c r="G139" s="3" t="s">
        <v>18</v>
      </c>
      <c r="H139" s="3" t="s">
        <v>19</v>
      </c>
      <c r="I139" s="3" t="s">
        <v>481</v>
      </c>
      <c r="J139" s="3" t="s">
        <v>506</v>
      </c>
      <c r="K139" s="3" t="s">
        <v>21</v>
      </c>
      <c r="L139" s="3"/>
    </row>
    <row r="140" customFormat="false" ht="15" hidden="false" customHeight="false" outlineLevel="0" collapsed="false">
      <c r="A140" s="3" t="s">
        <v>507</v>
      </c>
      <c r="B140" s="3" t="s">
        <v>493</v>
      </c>
      <c r="C140" s="3" t="s">
        <v>494</v>
      </c>
      <c r="D140" s="3" t="s">
        <v>508</v>
      </c>
      <c r="E140" s="3" t="s">
        <v>16</v>
      </c>
      <c r="F140" s="3" t="s">
        <v>17</v>
      </c>
      <c r="G140" s="3" t="s">
        <v>18</v>
      </c>
      <c r="H140" s="3" t="s">
        <v>41</v>
      </c>
      <c r="I140" s="3" t="s">
        <v>340</v>
      </c>
      <c r="J140" s="3" t="s">
        <v>509</v>
      </c>
      <c r="K140" s="3" t="s">
        <v>21</v>
      </c>
      <c r="L140" s="3"/>
    </row>
    <row r="141" customFormat="false" ht="15" hidden="false" customHeight="false" outlineLevel="0" collapsed="false">
      <c r="A141" s="3" t="s">
        <v>510</v>
      </c>
      <c r="B141" s="3" t="s">
        <v>493</v>
      </c>
      <c r="C141" s="3" t="s">
        <v>494</v>
      </c>
      <c r="D141" s="3" t="s">
        <v>511</v>
      </c>
      <c r="E141" s="3" t="s">
        <v>480</v>
      </c>
      <c r="F141" s="3" t="s">
        <v>49</v>
      </c>
      <c r="G141" s="3" t="s">
        <v>50</v>
      </c>
      <c r="H141" s="3" t="s">
        <v>41</v>
      </c>
      <c r="I141" s="3" t="s">
        <v>303</v>
      </c>
      <c r="J141" s="3" t="s">
        <v>512</v>
      </c>
      <c r="K141" s="3" t="s">
        <v>21</v>
      </c>
      <c r="L141" s="3"/>
    </row>
    <row r="142" customFormat="false" ht="35.05" hidden="false" customHeight="false" outlineLevel="0" collapsed="false">
      <c r="A142" s="3" t="s">
        <v>513</v>
      </c>
      <c r="B142" s="3" t="s">
        <v>514</v>
      </c>
      <c r="C142" s="3" t="s">
        <v>515</v>
      </c>
      <c r="D142" s="3" t="s">
        <v>516</v>
      </c>
      <c r="E142" s="3" t="s">
        <v>472</v>
      </c>
      <c r="F142" s="3" t="s">
        <v>49</v>
      </c>
      <c r="G142" s="3" t="s">
        <v>18</v>
      </c>
      <c r="H142" s="3" t="s">
        <v>19</v>
      </c>
      <c r="I142" s="3" t="s">
        <v>517</v>
      </c>
      <c r="J142" s="3" t="s">
        <v>518</v>
      </c>
      <c r="K142" s="3" t="s">
        <v>21</v>
      </c>
      <c r="L142" s="3"/>
    </row>
    <row r="143" customFormat="false" ht="23.85" hidden="false" customHeight="false" outlineLevel="0" collapsed="false">
      <c r="A143" s="3" t="s">
        <v>519</v>
      </c>
      <c r="B143" s="3" t="s">
        <v>514</v>
      </c>
      <c r="C143" s="3" t="s">
        <v>515</v>
      </c>
      <c r="D143" s="3" t="s">
        <v>520</v>
      </c>
      <c r="E143" s="3" t="s">
        <v>16</v>
      </c>
      <c r="F143" s="3" t="s">
        <v>49</v>
      </c>
      <c r="G143" s="3" t="s">
        <v>18</v>
      </c>
      <c r="H143" s="3" t="s">
        <v>25</v>
      </c>
      <c r="I143" s="3" t="s">
        <v>513</v>
      </c>
      <c r="J143" s="3" t="s">
        <v>521</v>
      </c>
      <c r="K143" s="3" t="s">
        <v>21</v>
      </c>
      <c r="L143" s="3"/>
    </row>
    <row r="144" customFormat="false" ht="23.85" hidden="false" customHeight="false" outlineLevel="0" collapsed="false">
      <c r="A144" s="3" t="s">
        <v>522</v>
      </c>
      <c r="B144" s="3" t="s">
        <v>514</v>
      </c>
      <c r="C144" s="3" t="s">
        <v>515</v>
      </c>
      <c r="D144" s="3" t="s">
        <v>523</v>
      </c>
      <c r="E144" s="3" t="s">
        <v>16</v>
      </c>
      <c r="F144" s="3" t="s">
        <v>49</v>
      </c>
      <c r="G144" s="3" t="s">
        <v>18</v>
      </c>
      <c r="H144" s="3" t="s">
        <v>25</v>
      </c>
      <c r="I144" s="3" t="s">
        <v>524</v>
      </c>
      <c r="J144" s="3" t="s">
        <v>525</v>
      </c>
      <c r="K144" s="3" t="s">
        <v>21</v>
      </c>
      <c r="L144" s="3"/>
    </row>
    <row r="145" customFormat="false" ht="15" hidden="false" customHeight="false" outlineLevel="0" collapsed="false">
      <c r="A145" s="3" t="s">
        <v>526</v>
      </c>
      <c r="B145" s="3" t="s">
        <v>514</v>
      </c>
      <c r="C145" s="3" t="s">
        <v>515</v>
      </c>
      <c r="D145" s="3" t="s">
        <v>527</v>
      </c>
      <c r="E145" s="3" t="s">
        <v>449</v>
      </c>
      <c r="F145" s="3" t="s">
        <v>49</v>
      </c>
      <c r="G145" s="3" t="s">
        <v>50</v>
      </c>
      <c r="H145" s="3" t="s">
        <v>41</v>
      </c>
      <c r="I145" s="3" t="s">
        <v>513</v>
      </c>
      <c r="J145" s="3" t="s">
        <v>528</v>
      </c>
      <c r="K145" s="3" t="s">
        <v>21</v>
      </c>
      <c r="L145" s="3"/>
    </row>
    <row r="146" customFormat="false" ht="23.85" hidden="false" customHeight="false" outlineLevel="0" collapsed="false">
      <c r="A146" s="3" t="s">
        <v>529</v>
      </c>
      <c r="B146" s="3" t="s">
        <v>530</v>
      </c>
      <c r="C146" s="3" t="s">
        <v>531</v>
      </c>
      <c r="D146" s="3" t="s">
        <v>532</v>
      </c>
      <c r="E146" s="3" t="s">
        <v>449</v>
      </c>
      <c r="F146" s="3" t="s">
        <v>17</v>
      </c>
      <c r="G146" s="3" t="s">
        <v>18</v>
      </c>
      <c r="H146" s="3" t="s">
        <v>19</v>
      </c>
      <c r="I146" s="3" t="s">
        <v>326</v>
      </c>
      <c r="J146" s="3" t="s">
        <v>533</v>
      </c>
      <c r="K146" s="3" t="s">
        <v>21</v>
      </c>
      <c r="L146" s="3"/>
    </row>
    <row r="147" customFormat="false" ht="23.85" hidden="false" customHeight="false" outlineLevel="0" collapsed="false">
      <c r="A147" s="3" t="s">
        <v>534</v>
      </c>
      <c r="B147" s="3" t="s">
        <v>530</v>
      </c>
      <c r="C147" s="3" t="s">
        <v>531</v>
      </c>
      <c r="D147" s="3" t="s">
        <v>535</v>
      </c>
      <c r="E147" s="3" t="s">
        <v>16</v>
      </c>
      <c r="F147" s="3" t="s">
        <v>17</v>
      </c>
      <c r="G147" s="3" t="s">
        <v>18</v>
      </c>
      <c r="H147" s="3" t="s">
        <v>25</v>
      </c>
      <c r="I147" s="3" t="s">
        <v>529</v>
      </c>
      <c r="J147" s="3" t="s">
        <v>536</v>
      </c>
      <c r="K147" s="3" t="s">
        <v>21</v>
      </c>
      <c r="L147" s="3"/>
    </row>
    <row r="148" customFormat="false" ht="23.85" hidden="false" customHeight="false" outlineLevel="0" collapsed="false">
      <c r="A148" s="3" t="s">
        <v>537</v>
      </c>
      <c r="B148" s="3" t="s">
        <v>530</v>
      </c>
      <c r="C148" s="3" t="s">
        <v>531</v>
      </c>
      <c r="D148" s="3" t="s">
        <v>538</v>
      </c>
      <c r="E148" s="3" t="s">
        <v>449</v>
      </c>
      <c r="F148" s="3" t="s">
        <v>17</v>
      </c>
      <c r="G148" s="3" t="s">
        <v>18</v>
      </c>
      <c r="H148" s="3" t="s">
        <v>25</v>
      </c>
      <c r="I148" s="3" t="s">
        <v>529</v>
      </c>
      <c r="J148" s="3" t="s">
        <v>539</v>
      </c>
      <c r="K148" s="3" t="s">
        <v>21</v>
      </c>
      <c r="L148" s="3"/>
    </row>
    <row r="149" customFormat="false" ht="15" hidden="false" customHeight="false" outlineLevel="0" collapsed="false">
      <c r="A149" s="3" t="s">
        <v>540</v>
      </c>
      <c r="B149" s="3" t="s">
        <v>530</v>
      </c>
      <c r="C149" s="3" t="s">
        <v>531</v>
      </c>
      <c r="D149" s="3" t="s">
        <v>541</v>
      </c>
      <c r="E149" s="3" t="s">
        <v>449</v>
      </c>
      <c r="F149" s="3" t="s">
        <v>17</v>
      </c>
      <c r="G149" s="3" t="s">
        <v>18</v>
      </c>
      <c r="H149" s="3" t="s">
        <v>41</v>
      </c>
      <c r="I149" s="3" t="s">
        <v>529</v>
      </c>
      <c r="J149" s="3" t="s">
        <v>542</v>
      </c>
      <c r="K149" s="3" t="s">
        <v>21</v>
      </c>
      <c r="L149" s="3"/>
    </row>
    <row r="150" customFormat="false" ht="23.85" hidden="false" customHeight="false" outlineLevel="0" collapsed="false">
      <c r="A150" s="3" t="s">
        <v>543</v>
      </c>
      <c r="B150" s="3" t="s">
        <v>530</v>
      </c>
      <c r="C150" s="3" t="s">
        <v>531</v>
      </c>
      <c r="D150" s="3" t="s">
        <v>544</v>
      </c>
      <c r="E150" s="3" t="s">
        <v>16</v>
      </c>
      <c r="F150" s="3" t="s">
        <v>17</v>
      </c>
      <c r="G150" s="3" t="s">
        <v>18</v>
      </c>
      <c r="H150" s="3" t="s">
        <v>25</v>
      </c>
      <c r="I150" s="3" t="s">
        <v>545</v>
      </c>
      <c r="J150" s="3" t="s">
        <v>546</v>
      </c>
      <c r="K150" s="3" t="s">
        <v>21</v>
      </c>
      <c r="L150" s="3"/>
    </row>
    <row r="151" customFormat="false" ht="23.85" hidden="false" customHeight="false" outlineLevel="0" collapsed="false">
      <c r="A151" s="3" t="s">
        <v>547</v>
      </c>
      <c r="B151" s="3" t="s">
        <v>530</v>
      </c>
      <c r="C151" s="3" t="s">
        <v>531</v>
      </c>
      <c r="D151" s="3" t="s">
        <v>548</v>
      </c>
      <c r="E151" s="3" t="s">
        <v>16</v>
      </c>
      <c r="F151" s="3" t="s">
        <v>17</v>
      </c>
      <c r="G151" s="3" t="s">
        <v>18</v>
      </c>
      <c r="H151" s="3" t="s">
        <v>25</v>
      </c>
      <c r="I151" s="3" t="s">
        <v>549</v>
      </c>
      <c r="J151" s="3" t="s">
        <v>550</v>
      </c>
      <c r="K151" s="3" t="s">
        <v>21</v>
      </c>
      <c r="L151" s="3"/>
    </row>
    <row r="152" customFormat="false" ht="23.85" hidden="false" customHeight="false" outlineLevel="0" collapsed="false">
      <c r="A152" s="3" t="s">
        <v>551</v>
      </c>
      <c r="B152" s="3" t="s">
        <v>552</v>
      </c>
      <c r="C152" s="3" t="s">
        <v>553</v>
      </c>
      <c r="D152" s="3" t="s">
        <v>554</v>
      </c>
      <c r="E152" s="3" t="s">
        <v>16</v>
      </c>
      <c r="F152" s="3" t="s">
        <v>17</v>
      </c>
      <c r="G152" s="3" t="s">
        <v>18</v>
      </c>
      <c r="H152" s="3" t="s">
        <v>25</v>
      </c>
      <c r="I152" s="3"/>
      <c r="J152" s="3" t="s">
        <v>555</v>
      </c>
      <c r="K152" s="3" t="s">
        <v>21</v>
      </c>
      <c r="L152" s="3"/>
    </row>
    <row r="153" customFormat="false" ht="23.85" hidden="false" customHeight="false" outlineLevel="0" collapsed="false">
      <c r="A153" s="3" t="s">
        <v>556</v>
      </c>
      <c r="B153" s="3" t="s">
        <v>552</v>
      </c>
      <c r="C153" s="3" t="s">
        <v>553</v>
      </c>
      <c r="D153" s="3" t="s">
        <v>557</v>
      </c>
      <c r="E153" s="3" t="s">
        <v>16</v>
      </c>
      <c r="F153" s="3" t="s">
        <v>17</v>
      </c>
      <c r="G153" s="3" t="s">
        <v>18</v>
      </c>
      <c r="H153" s="3" t="s">
        <v>25</v>
      </c>
      <c r="I153" s="3" t="s">
        <v>551</v>
      </c>
      <c r="J153" s="3" t="s">
        <v>558</v>
      </c>
      <c r="K153" s="3" t="s">
        <v>21</v>
      </c>
      <c r="L153" s="3"/>
    </row>
    <row r="154" customFormat="false" ht="23.85" hidden="false" customHeight="false" outlineLevel="0" collapsed="false">
      <c r="A154" s="3" t="s">
        <v>559</v>
      </c>
      <c r="B154" s="3" t="s">
        <v>552</v>
      </c>
      <c r="C154" s="3" t="s">
        <v>553</v>
      </c>
      <c r="D154" s="3" t="s">
        <v>560</v>
      </c>
      <c r="E154" s="3" t="s">
        <v>16</v>
      </c>
      <c r="F154" s="3" t="s">
        <v>17</v>
      </c>
      <c r="G154" s="3" t="s">
        <v>18</v>
      </c>
      <c r="H154" s="3" t="s">
        <v>25</v>
      </c>
      <c r="I154" s="3" t="s">
        <v>556</v>
      </c>
      <c r="J154" s="3" t="s">
        <v>561</v>
      </c>
      <c r="K154" s="3" t="s">
        <v>21</v>
      </c>
      <c r="L154" s="3"/>
    </row>
    <row r="155" customFormat="false" ht="23.85" hidden="false" customHeight="false" outlineLevel="0" collapsed="false">
      <c r="A155" s="3" t="s">
        <v>562</v>
      </c>
      <c r="B155" s="3" t="s">
        <v>552</v>
      </c>
      <c r="C155" s="3" t="s">
        <v>553</v>
      </c>
      <c r="D155" s="3" t="s">
        <v>563</v>
      </c>
      <c r="E155" s="3" t="s">
        <v>16</v>
      </c>
      <c r="F155" s="3" t="s">
        <v>17</v>
      </c>
      <c r="G155" s="3" t="s">
        <v>18</v>
      </c>
      <c r="H155" s="3" t="s">
        <v>41</v>
      </c>
      <c r="I155" s="3" t="s">
        <v>551</v>
      </c>
      <c r="J155" s="3" t="s">
        <v>564</v>
      </c>
      <c r="K155" s="3" t="s">
        <v>21</v>
      </c>
      <c r="L155" s="3"/>
    </row>
  </sheetData>
  <autoFilter ref="A1:L1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9"/>
    <col collapsed="false" customWidth="true" hidden="false" outlineLevel="0" max="7" min="4" style="1" width="6"/>
    <col collapsed="false" customWidth="true" hidden="false" outlineLevel="0" max="8" min="8" style="1" width="7"/>
  </cols>
  <sheetData>
    <row r="1" customFormat="false" ht="15" hidden="false" customHeight="true" outlineLevel="0" collapsed="false">
      <c r="A1" s="4" t="s">
        <v>1</v>
      </c>
      <c r="B1" s="4" t="s">
        <v>2</v>
      </c>
      <c r="C1" s="4" t="s">
        <v>565</v>
      </c>
      <c r="D1" s="4" t="s">
        <v>17</v>
      </c>
      <c r="E1" s="4" t="s">
        <v>49</v>
      </c>
      <c r="F1" s="4" t="s">
        <v>182</v>
      </c>
      <c r="G1" s="4" t="s">
        <v>18</v>
      </c>
      <c r="H1" s="4" t="s">
        <v>566</v>
      </c>
    </row>
    <row r="2" customFormat="false" ht="15" hidden="false" customHeight="true" outlineLevel="0" collapsed="false">
      <c r="A2" s="5" t="s">
        <v>13</v>
      </c>
      <c r="B2" s="5" t="s">
        <v>14</v>
      </c>
      <c r="C2" s="5" t="n">
        <f aca="false">COUNTIF(Backlog!$B:$B,A2)</f>
        <v>9</v>
      </c>
      <c r="D2" s="5" t="n">
        <f aca="false">COUNTIFS(Backlog!$B:$B,A2,Backlog!$F:$F,"T1")</f>
        <v>8</v>
      </c>
      <c r="E2" s="5" t="n">
        <f aca="false">COUNTIFS(Backlog!$B:$B,A2,Backlog!$F:$F,"T2")</f>
        <v>1</v>
      </c>
      <c r="F2" s="5" t="n">
        <f aca="false">COUNTIFS(Backlog!$B:$B,A2,Backlog!$F:$F,"T3")</f>
        <v>0</v>
      </c>
      <c r="G2" s="5" t="n">
        <f aca="false">COUNTIFS(Backlog!$B:$B,A2,Backlog!$G:$G,"P1")</f>
        <v>8</v>
      </c>
      <c r="H2" s="5" t="n">
        <f aca="false">COUNTIFS(Backlog!$B:$B,A2,Backlog!$H:$H,"L")</f>
        <v>3</v>
      </c>
    </row>
    <row r="3" customFormat="false" ht="15" hidden="false" customHeight="true" outlineLevel="0" collapsed="false">
      <c r="A3" s="5" t="s">
        <v>53</v>
      </c>
      <c r="B3" s="5" t="s">
        <v>54</v>
      </c>
      <c r="C3" s="5" t="n">
        <f aca="false">COUNTIF(Backlog!$B:$B,A3)</f>
        <v>4</v>
      </c>
      <c r="D3" s="5" t="n">
        <f aca="false">COUNTIFS(Backlog!$B:$B,A3,Backlog!$F:$F,"T1")</f>
        <v>4</v>
      </c>
      <c r="E3" s="5" t="n">
        <f aca="false">COUNTIFS(Backlog!$B:$B,A3,Backlog!$F:$F,"T2")</f>
        <v>0</v>
      </c>
      <c r="F3" s="5" t="n">
        <f aca="false">COUNTIFS(Backlog!$B:$B,A3,Backlog!$F:$F,"T3")</f>
        <v>0</v>
      </c>
      <c r="G3" s="5" t="n">
        <f aca="false">COUNTIFS(Backlog!$B:$B,A3,Backlog!$G:$G,"P1")</f>
        <v>3</v>
      </c>
      <c r="H3" s="5" t="n">
        <f aca="false">COUNTIFS(Backlog!$B:$B,A3,Backlog!$H:$H,"L")</f>
        <v>1</v>
      </c>
    </row>
    <row r="4" customFormat="false" ht="15" hidden="false" customHeight="true" outlineLevel="0" collapsed="false">
      <c r="A4" s="5" t="s">
        <v>69</v>
      </c>
      <c r="B4" s="5" t="s">
        <v>70</v>
      </c>
      <c r="C4" s="5" t="n">
        <f aca="false">COUNTIF(Backlog!$B:$B,A4)</f>
        <v>11</v>
      </c>
      <c r="D4" s="5" t="n">
        <f aca="false">COUNTIFS(Backlog!$B:$B,A4,Backlog!$F:$F,"T1")</f>
        <v>8</v>
      </c>
      <c r="E4" s="5" t="n">
        <f aca="false">COUNTIFS(Backlog!$B:$B,A4,Backlog!$F:$F,"T2")</f>
        <v>3</v>
      </c>
      <c r="F4" s="5" t="n">
        <f aca="false">COUNTIFS(Backlog!$B:$B,A4,Backlog!$F:$F,"T3")</f>
        <v>0</v>
      </c>
      <c r="G4" s="5" t="n">
        <f aca="false">COUNTIFS(Backlog!$B:$B,A4,Backlog!$G:$G,"P1")</f>
        <v>7</v>
      </c>
      <c r="H4" s="5" t="n">
        <f aca="false">COUNTIFS(Backlog!$B:$B,A4,Backlog!$H:$H,"L")</f>
        <v>4</v>
      </c>
    </row>
    <row r="5" customFormat="false" ht="15" hidden="false" customHeight="true" outlineLevel="0" collapsed="false">
      <c r="A5" s="5" t="s">
        <v>107</v>
      </c>
      <c r="B5" s="5" t="s">
        <v>108</v>
      </c>
      <c r="C5" s="5" t="n">
        <f aca="false">COUNTIF(Backlog!$B:$B,A5)</f>
        <v>7</v>
      </c>
      <c r="D5" s="5" t="n">
        <f aca="false">COUNTIFS(Backlog!$B:$B,A5,Backlog!$F:$F,"T1")</f>
        <v>5</v>
      </c>
      <c r="E5" s="5" t="n">
        <f aca="false">COUNTIFS(Backlog!$B:$B,A5,Backlog!$F:$F,"T2")</f>
        <v>2</v>
      </c>
      <c r="F5" s="5" t="n">
        <f aca="false">COUNTIFS(Backlog!$B:$B,A5,Backlog!$F:$F,"T3")</f>
        <v>0</v>
      </c>
      <c r="G5" s="5" t="n">
        <f aca="false">COUNTIFS(Backlog!$B:$B,A5,Backlog!$G:$G,"P1")</f>
        <v>5</v>
      </c>
      <c r="H5" s="5" t="n">
        <f aca="false">COUNTIFS(Backlog!$B:$B,A5,Backlog!$H:$H,"L")</f>
        <v>1</v>
      </c>
    </row>
    <row r="6" customFormat="false" ht="15" hidden="false" customHeight="true" outlineLevel="0" collapsed="false">
      <c r="A6" s="5" t="s">
        <v>132</v>
      </c>
      <c r="B6" s="5" t="s">
        <v>133</v>
      </c>
      <c r="C6" s="5" t="n">
        <f aca="false">COUNTIF(Backlog!$B:$B,A6)</f>
        <v>16</v>
      </c>
      <c r="D6" s="5" t="n">
        <f aca="false">COUNTIFS(Backlog!$B:$B,A6,Backlog!$F:$F,"T1")</f>
        <v>7</v>
      </c>
      <c r="E6" s="5" t="n">
        <f aca="false">COUNTIFS(Backlog!$B:$B,A6,Backlog!$F:$F,"T2")</f>
        <v>8</v>
      </c>
      <c r="F6" s="5" t="n">
        <f aca="false">COUNTIFS(Backlog!$B:$B,A6,Backlog!$F:$F,"T3")</f>
        <v>1</v>
      </c>
      <c r="G6" s="5" t="n">
        <f aca="false">COUNTIFS(Backlog!$B:$B,A6,Backlog!$G:$G,"P1")</f>
        <v>8</v>
      </c>
      <c r="H6" s="5" t="n">
        <f aca="false">COUNTIFS(Backlog!$B:$B,A6,Backlog!$H:$H,"L")</f>
        <v>1</v>
      </c>
    </row>
    <row r="7" customFormat="false" ht="15" hidden="false" customHeight="true" outlineLevel="0" collapsed="false">
      <c r="A7" s="5" t="s">
        <v>188</v>
      </c>
      <c r="B7" s="5" t="s">
        <v>189</v>
      </c>
      <c r="C7" s="5" t="n">
        <f aca="false">COUNTIF(Backlog!$B:$B,A7)</f>
        <v>10</v>
      </c>
      <c r="D7" s="5" t="n">
        <f aca="false">COUNTIFS(Backlog!$B:$B,A7,Backlog!$F:$F,"T1")</f>
        <v>6</v>
      </c>
      <c r="E7" s="5" t="n">
        <f aca="false">COUNTIFS(Backlog!$B:$B,A7,Backlog!$F:$F,"T2")</f>
        <v>4</v>
      </c>
      <c r="F7" s="5" t="n">
        <f aca="false">COUNTIFS(Backlog!$B:$B,A7,Backlog!$F:$F,"T3")</f>
        <v>0</v>
      </c>
      <c r="G7" s="5" t="n">
        <f aca="false">COUNTIFS(Backlog!$B:$B,A7,Backlog!$G:$G,"P1")</f>
        <v>8</v>
      </c>
      <c r="H7" s="5" t="n">
        <f aca="false">COUNTIFS(Backlog!$B:$B,A7,Backlog!$H:$H,"L")</f>
        <v>1</v>
      </c>
    </row>
    <row r="8" customFormat="false" ht="15" hidden="false" customHeight="true" outlineLevel="0" collapsed="false">
      <c r="A8" s="5" t="s">
        <v>224</v>
      </c>
      <c r="B8" s="5" t="s">
        <v>225</v>
      </c>
      <c r="C8" s="5" t="n">
        <f aca="false">COUNTIF(Backlog!$B:$B,A8)</f>
        <v>5</v>
      </c>
      <c r="D8" s="5" t="n">
        <f aca="false">COUNTIFS(Backlog!$B:$B,A8,Backlog!$F:$F,"T1")</f>
        <v>0</v>
      </c>
      <c r="E8" s="5" t="n">
        <f aca="false">COUNTIFS(Backlog!$B:$B,A8,Backlog!$F:$F,"T2")</f>
        <v>4</v>
      </c>
      <c r="F8" s="5" t="n">
        <f aca="false">COUNTIFS(Backlog!$B:$B,A8,Backlog!$F:$F,"T3")</f>
        <v>1</v>
      </c>
      <c r="G8" s="5" t="n">
        <f aca="false">COUNTIFS(Backlog!$B:$B,A8,Backlog!$G:$G,"P1")</f>
        <v>3</v>
      </c>
      <c r="H8" s="5" t="n">
        <f aca="false">COUNTIFS(Backlog!$B:$B,A8,Backlog!$H:$H,"L")</f>
        <v>2</v>
      </c>
    </row>
    <row r="9" customFormat="false" ht="15" hidden="false" customHeight="true" outlineLevel="0" collapsed="false">
      <c r="A9" s="5" t="s">
        <v>244</v>
      </c>
      <c r="B9" s="5" t="s">
        <v>245</v>
      </c>
      <c r="C9" s="5" t="n">
        <f aca="false">COUNTIF(Backlog!$B:$B,A9)</f>
        <v>6</v>
      </c>
      <c r="D9" s="5" t="n">
        <f aca="false">COUNTIFS(Backlog!$B:$B,A9,Backlog!$F:$F,"T1")</f>
        <v>0</v>
      </c>
      <c r="E9" s="5" t="n">
        <f aca="false">COUNTIFS(Backlog!$B:$B,A9,Backlog!$F:$F,"T2")</f>
        <v>5</v>
      </c>
      <c r="F9" s="5" t="n">
        <f aca="false">COUNTIFS(Backlog!$B:$B,A9,Backlog!$F:$F,"T3")</f>
        <v>1</v>
      </c>
      <c r="G9" s="5" t="n">
        <f aca="false">COUNTIFS(Backlog!$B:$B,A9,Backlog!$G:$G,"P1")</f>
        <v>3</v>
      </c>
      <c r="H9" s="5" t="n">
        <f aca="false">COUNTIFS(Backlog!$B:$B,A9,Backlog!$H:$H,"L")</f>
        <v>1</v>
      </c>
    </row>
    <row r="10" customFormat="false" ht="15" hidden="false" customHeight="true" outlineLevel="0" collapsed="false">
      <c r="A10" s="5" t="s">
        <v>265</v>
      </c>
      <c r="B10" s="5" t="s">
        <v>266</v>
      </c>
      <c r="C10" s="5" t="n">
        <f aca="false">COUNTIF(Backlog!$B:$B,A10)</f>
        <v>5</v>
      </c>
      <c r="D10" s="5" t="n">
        <f aca="false">COUNTIFS(Backlog!$B:$B,A10,Backlog!$F:$F,"T1")</f>
        <v>0</v>
      </c>
      <c r="E10" s="5" t="n">
        <f aca="false">COUNTIFS(Backlog!$B:$B,A10,Backlog!$F:$F,"T2")</f>
        <v>0</v>
      </c>
      <c r="F10" s="5" t="n">
        <f aca="false">COUNTIFS(Backlog!$B:$B,A10,Backlog!$F:$F,"T3")</f>
        <v>5</v>
      </c>
      <c r="G10" s="5" t="n">
        <f aca="false">COUNTIFS(Backlog!$B:$B,A10,Backlog!$G:$G,"P1")</f>
        <v>2</v>
      </c>
      <c r="H10" s="5" t="n">
        <f aca="false">COUNTIFS(Backlog!$B:$B,A10,Backlog!$H:$H,"L")</f>
        <v>1</v>
      </c>
    </row>
    <row r="11" customFormat="false" ht="15" hidden="false" customHeight="true" outlineLevel="0" collapsed="false">
      <c r="A11" s="5" t="s">
        <v>283</v>
      </c>
      <c r="B11" s="5" t="s">
        <v>284</v>
      </c>
      <c r="C11" s="5" t="n">
        <f aca="false">COUNTIF(Backlog!$B:$B,A11)</f>
        <v>7</v>
      </c>
      <c r="D11" s="5" t="n">
        <f aca="false">COUNTIFS(Backlog!$B:$B,A11,Backlog!$F:$F,"T1")</f>
        <v>1</v>
      </c>
      <c r="E11" s="5" t="n">
        <f aca="false">COUNTIFS(Backlog!$B:$B,A11,Backlog!$F:$F,"T2")</f>
        <v>5</v>
      </c>
      <c r="F11" s="5" t="n">
        <f aca="false">COUNTIFS(Backlog!$B:$B,A11,Backlog!$F:$F,"T3")</f>
        <v>1</v>
      </c>
      <c r="G11" s="5" t="n">
        <f aca="false">COUNTIFS(Backlog!$B:$B,A11,Backlog!$G:$G,"P1")</f>
        <v>3</v>
      </c>
      <c r="H11" s="5" t="n">
        <f aca="false">COUNTIFS(Backlog!$B:$B,A11,Backlog!$H:$H,"L")</f>
        <v>3</v>
      </c>
    </row>
    <row r="12" customFormat="false" ht="15" hidden="false" customHeight="true" outlineLevel="0" collapsed="false">
      <c r="A12" s="5" t="s">
        <v>308</v>
      </c>
      <c r="B12" s="5" t="s">
        <v>309</v>
      </c>
      <c r="C12" s="5" t="n">
        <f aca="false">COUNTIF(Backlog!$B:$B,A12)</f>
        <v>4</v>
      </c>
      <c r="D12" s="5" t="n">
        <f aca="false">COUNTIFS(Backlog!$B:$B,A12,Backlog!$F:$F,"T1")</f>
        <v>1</v>
      </c>
      <c r="E12" s="5" t="n">
        <f aca="false">COUNTIFS(Backlog!$B:$B,A12,Backlog!$F:$F,"T2")</f>
        <v>1</v>
      </c>
      <c r="F12" s="5" t="n">
        <f aca="false">COUNTIFS(Backlog!$B:$B,A12,Backlog!$F:$F,"T3")</f>
        <v>2</v>
      </c>
      <c r="G12" s="5" t="n">
        <f aca="false">COUNTIFS(Backlog!$B:$B,A12,Backlog!$G:$G,"P1")</f>
        <v>1</v>
      </c>
      <c r="H12" s="5" t="n">
        <f aca="false">COUNTIFS(Backlog!$B:$B,A12,Backlog!$H:$H,"L")</f>
        <v>1</v>
      </c>
    </row>
    <row r="13" customFormat="false" ht="15" hidden="false" customHeight="true" outlineLevel="0" collapsed="false">
      <c r="A13" s="5" t="s">
        <v>322</v>
      </c>
      <c r="B13" s="5" t="s">
        <v>323</v>
      </c>
      <c r="C13" s="5" t="n">
        <f aca="false">COUNTIF(Backlog!$B:$B,A13)</f>
        <v>10</v>
      </c>
      <c r="D13" s="5" t="n">
        <f aca="false">COUNTIFS(Backlog!$B:$B,A13,Backlog!$F:$F,"T1")</f>
        <v>8</v>
      </c>
      <c r="E13" s="5" t="n">
        <f aca="false">COUNTIFS(Backlog!$B:$B,A13,Backlog!$F:$F,"T2")</f>
        <v>1</v>
      </c>
      <c r="F13" s="5" t="n">
        <f aca="false">COUNTIFS(Backlog!$B:$B,A13,Backlog!$F:$F,"T3")</f>
        <v>1</v>
      </c>
      <c r="G13" s="5" t="n">
        <f aca="false">COUNTIFS(Backlog!$B:$B,A13,Backlog!$G:$G,"P1")</f>
        <v>7</v>
      </c>
      <c r="H13" s="5" t="n">
        <f aca="false">COUNTIFS(Backlog!$B:$B,A13,Backlog!$H:$H,"L")</f>
        <v>3</v>
      </c>
    </row>
    <row r="14" customFormat="false" ht="15" hidden="false" customHeight="true" outlineLevel="0" collapsed="false">
      <c r="A14" s="5" t="s">
        <v>356</v>
      </c>
      <c r="B14" s="5" t="s">
        <v>357</v>
      </c>
      <c r="C14" s="5" t="n">
        <f aca="false">COUNTIF(Backlog!$B:$B,A14)</f>
        <v>9</v>
      </c>
      <c r="D14" s="5" t="n">
        <f aca="false">COUNTIFS(Backlog!$B:$B,A14,Backlog!$F:$F,"T1")</f>
        <v>6</v>
      </c>
      <c r="E14" s="5" t="n">
        <f aca="false">COUNTIFS(Backlog!$B:$B,A14,Backlog!$F:$F,"T2")</f>
        <v>1</v>
      </c>
      <c r="F14" s="5" t="n">
        <f aca="false">COUNTIFS(Backlog!$B:$B,A14,Backlog!$F:$F,"T3")</f>
        <v>2</v>
      </c>
      <c r="G14" s="5" t="n">
        <f aca="false">COUNTIFS(Backlog!$B:$B,A14,Backlog!$G:$G,"P1")</f>
        <v>5</v>
      </c>
      <c r="H14" s="5" t="n">
        <f aca="false">COUNTIFS(Backlog!$B:$B,A14,Backlog!$H:$H,"L")</f>
        <v>1</v>
      </c>
    </row>
    <row r="15" customFormat="false" ht="15" hidden="false" customHeight="true" outlineLevel="0" collapsed="false">
      <c r="A15" s="5" t="s">
        <v>384</v>
      </c>
      <c r="B15" s="5" t="s">
        <v>385</v>
      </c>
      <c r="C15" s="5" t="n">
        <f aca="false">COUNTIF(Backlog!$B:$B,A15)</f>
        <v>4</v>
      </c>
      <c r="D15" s="5" t="n">
        <f aca="false">COUNTIFS(Backlog!$B:$B,A15,Backlog!$F:$F,"T1")</f>
        <v>2</v>
      </c>
      <c r="E15" s="5" t="n">
        <f aca="false">COUNTIFS(Backlog!$B:$B,A15,Backlog!$F:$F,"T2")</f>
        <v>0</v>
      </c>
      <c r="F15" s="5" t="n">
        <f aca="false">COUNTIFS(Backlog!$B:$B,A15,Backlog!$F:$F,"T3")</f>
        <v>2</v>
      </c>
      <c r="G15" s="5" t="n">
        <f aca="false">COUNTIFS(Backlog!$B:$B,A15,Backlog!$G:$G,"P1")</f>
        <v>2</v>
      </c>
      <c r="H15" s="5" t="n">
        <f aca="false">COUNTIFS(Backlog!$B:$B,A15,Backlog!$H:$H,"L")</f>
        <v>1</v>
      </c>
    </row>
    <row r="16" customFormat="false" ht="15" hidden="false" customHeight="true" outlineLevel="0" collapsed="false">
      <c r="A16" s="5" t="s">
        <v>399</v>
      </c>
      <c r="B16" s="5" t="s">
        <v>400</v>
      </c>
      <c r="C16" s="5" t="n">
        <f aca="false">COUNTIF(Backlog!$B:$B,A16)</f>
        <v>3</v>
      </c>
      <c r="D16" s="5" t="n">
        <f aca="false">COUNTIFS(Backlog!$B:$B,A16,Backlog!$F:$F,"T1")</f>
        <v>1</v>
      </c>
      <c r="E16" s="5" t="n">
        <f aca="false">COUNTIFS(Backlog!$B:$B,A16,Backlog!$F:$F,"T2")</f>
        <v>1</v>
      </c>
      <c r="F16" s="5" t="n">
        <f aca="false">COUNTIFS(Backlog!$B:$B,A16,Backlog!$F:$F,"T3")</f>
        <v>1</v>
      </c>
      <c r="G16" s="5" t="n">
        <f aca="false">COUNTIFS(Backlog!$B:$B,A16,Backlog!$G:$G,"P1")</f>
        <v>1</v>
      </c>
      <c r="H16" s="5" t="n">
        <f aca="false">COUNTIFS(Backlog!$B:$B,A16,Backlog!$H:$H,"L")</f>
        <v>0</v>
      </c>
    </row>
    <row r="17" customFormat="false" ht="15" hidden="false" customHeight="true" outlineLevel="0" collapsed="false">
      <c r="A17" s="5" t="s">
        <v>409</v>
      </c>
      <c r="B17" s="5" t="s">
        <v>410</v>
      </c>
      <c r="C17" s="5" t="n">
        <f aca="false">COUNTIF(Backlog!$B:$B,A17)</f>
        <v>7</v>
      </c>
      <c r="D17" s="5" t="n">
        <f aca="false">COUNTIFS(Backlog!$B:$B,A17,Backlog!$F:$F,"T1")</f>
        <v>6</v>
      </c>
      <c r="E17" s="5" t="n">
        <f aca="false">COUNTIFS(Backlog!$B:$B,A17,Backlog!$F:$F,"T2")</f>
        <v>1</v>
      </c>
      <c r="F17" s="5" t="n">
        <f aca="false">COUNTIFS(Backlog!$B:$B,A17,Backlog!$F:$F,"T3")</f>
        <v>0</v>
      </c>
      <c r="G17" s="5" t="n">
        <f aca="false">COUNTIFS(Backlog!$B:$B,A17,Backlog!$G:$G,"P1")</f>
        <v>5</v>
      </c>
      <c r="H17" s="5" t="n">
        <f aca="false">COUNTIFS(Backlog!$B:$B,A17,Backlog!$H:$H,"L")</f>
        <v>0</v>
      </c>
    </row>
    <row r="18" customFormat="false" ht="15" hidden="false" customHeight="true" outlineLevel="0" collapsed="false">
      <c r="A18" s="5" t="s">
        <v>429</v>
      </c>
      <c r="B18" s="5" t="s">
        <v>430</v>
      </c>
      <c r="C18" s="5" t="n">
        <f aca="false">COUNTIF(Backlog!$B:$B,A18)</f>
        <v>5</v>
      </c>
      <c r="D18" s="5" t="n">
        <f aca="false">COUNTIFS(Backlog!$B:$B,A18,Backlog!$F:$F,"T1")</f>
        <v>5</v>
      </c>
      <c r="E18" s="5" t="n">
        <f aca="false">COUNTIFS(Backlog!$B:$B,A18,Backlog!$F:$F,"T2")</f>
        <v>0</v>
      </c>
      <c r="F18" s="5" t="n">
        <f aca="false">COUNTIFS(Backlog!$B:$B,A18,Backlog!$F:$F,"T3")</f>
        <v>0</v>
      </c>
      <c r="G18" s="5" t="n">
        <f aca="false">COUNTIFS(Backlog!$B:$B,A18,Backlog!$G:$G,"P1")</f>
        <v>5</v>
      </c>
      <c r="H18" s="5" t="n">
        <f aca="false">COUNTIFS(Backlog!$B:$B,A18,Backlog!$H:$H,"L")</f>
        <v>0</v>
      </c>
    </row>
    <row r="19" customFormat="false" ht="15" hidden="false" customHeight="true" outlineLevel="0" collapsed="false">
      <c r="A19" s="6" t="s">
        <v>446</v>
      </c>
      <c r="B19" s="6" t="s">
        <v>447</v>
      </c>
      <c r="C19" s="6" t="n">
        <f aca="false">COUNTIF(Backlog!$B:$B,A19)</f>
        <v>5</v>
      </c>
      <c r="D19" s="6" t="n">
        <f aca="false">COUNTIFS(Backlog!$B:$B,A19,Backlog!$F:$F,"T1")</f>
        <v>5</v>
      </c>
      <c r="E19" s="6" t="n">
        <f aca="false">COUNTIFS(Backlog!$B:$B,A19,Backlog!$F:$F,"T2")</f>
        <v>0</v>
      </c>
      <c r="F19" s="6" t="n">
        <f aca="false">COUNTIFS(Backlog!$B:$B,A19,Backlog!$F:$F,"T3")</f>
        <v>0</v>
      </c>
      <c r="G19" s="6" t="n">
        <f aca="false">COUNTIFS(Backlog!$B:$B,A19,Backlog!$G:$G,"P1")</f>
        <v>3</v>
      </c>
      <c r="H19" s="6" t="n">
        <f aca="false">COUNTIFS(Backlog!$B:$B,A19,Backlog!$H:$H,"L")</f>
        <v>2</v>
      </c>
    </row>
    <row r="20" customFormat="false" ht="15" hidden="false" customHeight="false" outlineLevel="0" collapsed="false">
      <c r="A20" s="6" t="s">
        <v>466</v>
      </c>
      <c r="B20" s="6" t="s">
        <v>467</v>
      </c>
      <c r="C20" s="6" t="n">
        <f aca="false">COUNTIF(Backlog!$B:$B,A20)</f>
        <v>7</v>
      </c>
      <c r="D20" s="6" t="n">
        <f aca="false">COUNTIFS(Backlog!$B:$B,A20,Backlog!$F:$F,"T1")</f>
        <v>2</v>
      </c>
      <c r="E20" s="6" t="n">
        <f aca="false">COUNTIFS(Backlog!$B:$B,A20,Backlog!$F:$F,"T2")</f>
        <v>3</v>
      </c>
      <c r="F20" s="6" t="n">
        <f aca="false">COUNTIFS(Backlog!$B:$B,A20,Backlog!$F:$F,"T3")</f>
        <v>2</v>
      </c>
      <c r="G20" s="6" t="n">
        <f aca="false">COUNTIFS(Backlog!$B:$B,A20,Backlog!$G:$G,"P1")</f>
        <v>5</v>
      </c>
      <c r="H20" s="6" t="n">
        <f aca="false">COUNTIFS(Backlog!$B:$B,A20,Backlog!$H:$H,"L")</f>
        <v>1</v>
      </c>
    </row>
    <row r="21" customFormat="false" ht="15" hidden="false" customHeight="false" outlineLevel="0" collapsed="false">
      <c r="A21" s="6" t="s">
        <v>493</v>
      </c>
      <c r="B21" s="6" t="s">
        <v>494</v>
      </c>
      <c r="C21" s="6" t="n">
        <f aca="false">COUNTIF(Backlog!$B:$B,A21)</f>
        <v>6</v>
      </c>
      <c r="D21" s="6" t="n">
        <f aca="false">COUNTIFS(Backlog!$B:$B,A21,Backlog!$F:$F,"T1")</f>
        <v>4</v>
      </c>
      <c r="E21" s="6" t="n">
        <f aca="false">COUNTIFS(Backlog!$B:$B,A21,Backlog!$F:$F,"T2")</f>
        <v>2</v>
      </c>
      <c r="F21" s="6" t="n">
        <f aca="false">COUNTIFS(Backlog!$B:$B,A21,Backlog!$F:$F,"T3")</f>
        <v>0</v>
      </c>
      <c r="G21" s="6" t="n">
        <f aca="false">COUNTIFS(Backlog!$B:$B,A21,Backlog!$G:$G,"P1")</f>
        <v>5</v>
      </c>
      <c r="H21" s="6" t="n">
        <f aca="false">COUNTIFS(Backlog!$B:$B,A21,Backlog!$H:$H,"L")</f>
        <v>3</v>
      </c>
    </row>
    <row r="22" customFormat="false" ht="15" hidden="false" customHeight="false" outlineLevel="0" collapsed="false">
      <c r="A22" s="6" t="s">
        <v>514</v>
      </c>
      <c r="B22" s="6" t="s">
        <v>515</v>
      </c>
      <c r="C22" s="6" t="n">
        <f aca="false">COUNTIF(Backlog!$B:$B,A22)</f>
        <v>4</v>
      </c>
      <c r="D22" s="6" t="n">
        <f aca="false">COUNTIFS(Backlog!$B:$B,A22,Backlog!$F:$F,"T1")</f>
        <v>0</v>
      </c>
      <c r="E22" s="6" t="n">
        <f aca="false">COUNTIFS(Backlog!$B:$B,A22,Backlog!$F:$F,"T2")</f>
        <v>4</v>
      </c>
      <c r="F22" s="6" t="n">
        <f aca="false">COUNTIFS(Backlog!$B:$B,A22,Backlog!$F:$F,"T3")</f>
        <v>0</v>
      </c>
      <c r="G22" s="6" t="n">
        <f aca="false">COUNTIFS(Backlog!$B:$B,A22,Backlog!$G:$G,"P1")</f>
        <v>3</v>
      </c>
      <c r="H22" s="6" t="n">
        <f aca="false">COUNTIFS(Backlog!$B:$B,A22,Backlog!$H:$H,"L")</f>
        <v>1</v>
      </c>
    </row>
    <row r="23" customFormat="false" ht="15" hidden="false" customHeight="false" outlineLevel="0" collapsed="false">
      <c r="A23" s="6" t="s">
        <v>530</v>
      </c>
      <c r="B23" s="6" t="s">
        <v>531</v>
      </c>
      <c r="C23" s="6" t="n">
        <f aca="false">COUNTIF(Backlog!$B:$B,A23)</f>
        <v>6</v>
      </c>
      <c r="D23" s="6" t="n">
        <f aca="false">COUNTIFS(Backlog!$B:$B,A23,Backlog!$F:$F,"T1")</f>
        <v>6</v>
      </c>
      <c r="E23" s="6" t="n">
        <f aca="false">COUNTIFS(Backlog!$B:$B,A23,Backlog!$F:$F,"T2")</f>
        <v>0</v>
      </c>
      <c r="F23" s="6" t="n">
        <f aca="false">COUNTIFS(Backlog!$B:$B,A23,Backlog!$F:$F,"T3")</f>
        <v>0</v>
      </c>
      <c r="G23" s="6" t="n">
        <f aca="false">COUNTIFS(Backlog!$B:$B,A23,Backlog!$G:$G,"P1")</f>
        <v>6</v>
      </c>
      <c r="H23" s="6" t="n">
        <f aca="false">COUNTIFS(Backlog!$B:$B,A23,Backlog!$H:$H,"L")</f>
        <v>1</v>
      </c>
    </row>
    <row r="24" customFormat="false" ht="15" hidden="false" customHeight="false" outlineLevel="0" collapsed="false">
      <c r="A24" s="6" t="s">
        <v>552</v>
      </c>
      <c r="B24" s="6" t="s">
        <v>553</v>
      </c>
      <c r="C24" s="6" t="n">
        <f aca="false">COUNTIF(Backlog!$B:$B,A24)</f>
        <v>4</v>
      </c>
      <c r="D24" s="6" t="n">
        <f aca="false">COUNTIFS(Backlog!$B:$B,A24,Backlog!$F:$F,"T1")</f>
        <v>4</v>
      </c>
      <c r="E24" s="6" t="n">
        <f aca="false">COUNTIFS(Backlog!$B:$B,A24,Backlog!$F:$F,"T2")</f>
        <v>0</v>
      </c>
      <c r="F24" s="6" t="n">
        <f aca="false">COUNTIFS(Backlog!$B:$B,A24,Backlog!$F:$F,"T3")</f>
        <v>0</v>
      </c>
      <c r="G24" s="6" t="n">
        <f aca="false">COUNTIFS(Backlog!$B:$B,A24,Backlog!$G:$G,"P1")</f>
        <v>4</v>
      </c>
      <c r="H24" s="6" t="n">
        <f aca="false">COUNTIFS(Backlog!$B:$B,A24,Backlog!$H:$H,"L")</f>
        <v>0</v>
      </c>
    </row>
    <row r="25" customFormat="false" ht="15" hidden="false" customHeight="false" outlineLevel="0" collapsed="false">
      <c r="A25" s="7" t="s">
        <v>567</v>
      </c>
      <c r="B25" s="7"/>
      <c r="C25" s="7" t="n">
        <f aca="false">SUM(C2:C24)</f>
        <v>154</v>
      </c>
      <c r="D25" s="7" t="n">
        <f aca="false">SUM(D2:D24)</f>
        <v>89</v>
      </c>
      <c r="E25" s="7" t="n">
        <f aca="false">SUM(E2:E24)</f>
        <v>46</v>
      </c>
      <c r="F25" s="7" t="n">
        <f aca="false">SUM(F2:F24)</f>
        <v>19</v>
      </c>
      <c r="G25" s="7" t="n">
        <f aca="false">SUM(G2:G24)</f>
        <v>102</v>
      </c>
      <c r="H25" s="7" t="n">
        <f aca="false">SUM(H2:H24)</f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00"/>
  </cols>
  <sheetData>
    <row r="1" customFormat="false" ht="15" hidden="false" customHeight="true" outlineLevel="0" collapsed="false">
      <c r="A1" s="4" t="s">
        <v>568</v>
      </c>
      <c r="B1" s="4" t="s">
        <v>569</v>
      </c>
    </row>
    <row r="2" customFormat="false" ht="15" hidden="false" customHeight="true" outlineLevel="0" collapsed="false">
      <c r="A2" s="8" t="s">
        <v>0</v>
      </c>
      <c r="B2" s="8" t="s">
        <v>570</v>
      </c>
    </row>
    <row r="3" customFormat="false" ht="23.25" hidden="false" customHeight="true" outlineLevel="0" collapsed="false">
      <c r="A3" s="8" t="s">
        <v>4</v>
      </c>
      <c r="B3" s="8" t="s">
        <v>571</v>
      </c>
    </row>
    <row r="4" customFormat="false" ht="23.25" hidden="false" customHeight="true" outlineLevel="0" collapsed="false">
      <c r="A4" s="8" t="s">
        <v>5</v>
      </c>
      <c r="B4" s="8" t="s">
        <v>572</v>
      </c>
    </row>
    <row r="5" customFormat="false" ht="15" hidden="false" customHeight="true" outlineLevel="0" collapsed="false">
      <c r="A5" s="8" t="s">
        <v>6</v>
      </c>
      <c r="B5" s="8" t="s">
        <v>573</v>
      </c>
    </row>
    <row r="6" customFormat="false" ht="15" hidden="false" customHeight="true" outlineLevel="0" collapsed="false">
      <c r="A6" s="8" t="s">
        <v>7</v>
      </c>
      <c r="B6" s="8" t="s">
        <v>574</v>
      </c>
    </row>
    <row r="7" customFormat="false" ht="15" hidden="false" customHeight="true" outlineLevel="0" collapsed="false">
      <c r="A7" s="8" t="s">
        <v>8</v>
      </c>
      <c r="B7" s="8" t="s">
        <v>575</v>
      </c>
    </row>
    <row r="8" customFormat="false" ht="15" hidden="false" customHeight="true" outlineLevel="0" collapsed="false">
      <c r="A8" s="8" t="s">
        <v>9</v>
      </c>
      <c r="B8" s="8" t="s">
        <v>576</v>
      </c>
    </row>
    <row r="9" customFormat="false" ht="15" hidden="false" customHeight="true" outlineLevel="0" collapsed="false">
      <c r="A9" s="8" t="s">
        <v>577</v>
      </c>
      <c r="B9" s="8" t="s">
        <v>578</v>
      </c>
    </row>
    <row r="10" customFormat="false" ht="15" hidden="false" customHeight="true" outlineLevel="0" collapsed="false">
      <c r="A10" s="8"/>
      <c r="B10" s="8"/>
    </row>
    <row r="11" customFormat="false" ht="23.25" hidden="false" customHeight="true" outlineLevel="0" collapsed="false">
      <c r="A11" s="8" t="s">
        <v>579</v>
      </c>
      <c r="B11" s="8" t="s">
        <v>580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2026-09-13T03:50:22Z</dcterms:created>
  <dc:creator>openpyxl</dc:creator>
  <dc:description/>
  <dc:language>en-US</dc:language>
  <cp:lastModifiedBy/>
  <dcterms:modified xsi:type="dcterms:W3CDTF">2026-09-13T08:44:42Z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